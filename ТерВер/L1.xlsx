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71" windowHeight="12762"/>
  </bookViews>
  <sheets>
    <sheet name="Лист1" sheetId="1" r:id="rId1"/>
  </sheets>
  <calcPr calcId="144525"/>
</workbook>
</file>

<file path=xl/sharedStrings.xml><?xml version="1.0" encoding="utf-8"?>
<sst xmlns="http://schemas.openxmlformats.org/spreadsheetml/2006/main" count="35" uniqueCount="32">
  <si>
    <t>Исходные данные</t>
  </si>
  <si>
    <t>ВАРИАНТ 16</t>
  </si>
  <si>
    <t>Кол-во интервалов</t>
  </si>
  <si>
    <t>k=</t>
  </si>
  <si>
    <t>min=</t>
  </si>
  <si>
    <t>max=</t>
  </si>
  <si>
    <t>W=</t>
  </si>
  <si>
    <t>Длина интервалов</t>
  </si>
  <si>
    <t>Интервальный статистических ряд</t>
  </si>
  <si>
    <t>[xi;</t>
  </si>
  <si>
    <t>xi+1)</t>
  </si>
  <si>
    <t>xi*</t>
  </si>
  <si>
    <t>ni</t>
  </si>
  <si>
    <t>ni/n</t>
  </si>
  <si>
    <t>ni/n/h</t>
  </si>
  <si>
    <t>Выборочное среднее</t>
  </si>
  <si>
    <t>x-ср=</t>
  </si>
  <si>
    <t>Выборочная дисперсия</t>
  </si>
  <si>
    <t>Dв=</t>
  </si>
  <si>
    <t>s^2=</t>
  </si>
  <si>
    <t>s=</t>
  </si>
  <si>
    <t>Проверка гипотезы о законе распределения по критерию Пирсона</t>
  </si>
  <si>
    <t>pi</t>
  </si>
  <si>
    <t>n*pi</t>
  </si>
  <si>
    <t>ni-n*pi</t>
  </si>
  <si>
    <t>(ni-n*pi)^2</t>
  </si>
  <si>
    <t>(ni-n*pi)^2/npi</t>
  </si>
  <si>
    <t>ni^2/npi</t>
  </si>
  <si>
    <t>Суммы</t>
  </si>
  <si>
    <t>X2расч=</t>
  </si>
  <si>
    <t>k-r-1=</t>
  </si>
  <si>
    <t>X2крит=</t>
  </si>
</sst>
</file>

<file path=xl/styles.xml><?xml version="1.0" encoding="utf-8"?>
<styleSheet xmlns="http://schemas.openxmlformats.org/spreadsheetml/2006/main">
  <numFmts count="6">
    <numFmt numFmtId="176" formatCode="_-* #,##0.000_-;\-* #,##0.000_-;_-* &quot;-&quot;??.00_-;_-@_-"/>
    <numFmt numFmtId="177" formatCode="_-* #,##0\ &quot;₽&quot;_-;\-* #,##0\ &quot;₽&quot;_-;_-* \-\ &quot;₽&quot;_-;_-@_-"/>
    <numFmt numFmtId="178" formatCode="_-* #,##0.00\ &quot;₽&quot;_-;\-* #,##0.00\ &quot;₽&quot;_-;_-* \-??\ &quot;₽&quot;_-;_-@_-"/>
    <numFmt numFmtId="41" formatCode="_-* #,##0_-;\-* #,##0_-;_-* &quot;-&quot;_-;_-@_-"/>
    <numFmt numFmtId="43" formatCode="_-* #,##0.00_-;\-* #,##0.00_-;_-* &quot;-&quot;??_-;_-@_-"/>
    <numFmt numFmtId="179" formatCode="_-* #,##0.000_-;\-* #,##0.000_-;_-* &quot;-&quot;??.0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7" fillId="28" borderId="8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4" fillId="4" borderId="5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1" fillId="2" borderId="8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4" applyNumberFormat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>
      <alignment vertical="center"/>
    </xf>
    <xf numFmtId="43" fontId="0" fillId="0" borderId="1" xfId="22" applyBorder="1">
      <alignment vertical="center"/>
    </xf>
    <xf numFmtId="41" fontId="0" fillId="0" borderId="1" xfId="41" applyBorder="1">
      <alignment vertical="center"/>
    </xf>
    <xf numFmtId="43" fontId="0" fillId="0" borderId="1" xfId="22" applyNumberFormat="1" applyBorder="1">
      <alignment vertical="center"/>
    </xf>
    <xf numFmtId="41" fontId="0" fillId="0" borderId="2" xfId="41" applyBorder="1">
      <alignment vertical="center"/>
    </xf>
    <xf numFmtId="43" fontId="0" fillId="0" borderId="0" xfId="22">
      <alignment vertical="center"/>
    </xf>
    <xf numFmtId="11" fontId="0" fillId="0" borderId="0" xfId="0" applyNumberFormat="1">
      <alignment vertical="center"/>
    </xf>
    <xf numFmtId="0" fontId="0" fillId="0" borderId="3" xfId="0" applyBorder="1">
      <alignment vertical="center"/>
    </xf>
    <xf numFmtId="176" fontId="0" fillId="0" borderId="0" xfId="22" applyNumberFormat="1">
      <alignment vertical="center"/>
    </xf>
    <xf numFmtId="179" fontId="0" fillId="0" borderId="0" xfId="22" applyNumberFormat="1">
      <alignment vertical="center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Лист1!$C$17:$C$24</c:f>
              <c:strCache>
                <c:ptCount val="1"/>
                <c:pt idx="0">
                  <c:v>14,9 16,7 18,5 20,3 22,1 23,9 25,7 27,5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Лист1!$C$17:$C$24</c:f>
              <c:numCache>
                <c:formatCode>General</c:formatCode>
                <c:ptCount val="8"/>
                <c:pt idx="0">
                  <c:v>14.9</c:v>
                </c:pt>
                <c:pt idx="1">
                  <c:v>16.7</c:v>
                </c:pt>
                <c:pt idx="2">
                  <c:v>18.5</c:v>
                </c:pt>
                <c:pt idx="3">
                  <c:v>20.3</c:v>
                </c:pt>
                <c:pt idx="4">
                  <c:v>22.1</c:v>
                </c:pt>
                <c:pt idx="5">
                  <c:v>23.9</c:v>
                </c:pt>
                <c:pt idx="6">
                  <c:v>25.7</c:v>
                </c:pt>
                <c:pt idx="7">
                  <c:v>27.5</c:v>
                </c:pt>
              </c:numCache>
            </c:numRef>
          </c:cat>
          <c:val>
            <c:numRef>
              <c:f>Лист1!$F$17:$F$24</c:f>
              <c:numCache>
                <c:formatCode>General</c:formatCode>
                <c:ptCount val="8"/>
                <c:pt idx="0">
                  <c:v>0.012</c:v>
                </c:pt>
                <c:pt idx="1">
                  <c:v>0.039</c:v>
                </c:pt>
                <c:pt idx="2">
                  <c:v>0.095</c:v>
                </c:pt>
                <c:pt idx="3">
                  <c:v>0.095</c:v>
                </c:pt>
                <c:pt idx="4">
                  <c:v>0.067</c:v>
                </c:pt>
                <c:pt idx="5">
                  <c:v>0.134</c:v>
                </c:pt>
                <c:pt idx="6">
                  <c:v>0.084</c:v>
                </c:pt>
                <c:pt idx="7">
                  <c:v>0.034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2"/>
        <c:overlap val="-48"/>
        <c:axId val="244109558"/>
        <c:axId val="426138858"/>
      </c:barChart>
      <c:catAx>
        <c:axId val="24410955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6138858"/>
        <c:crosses val="autoZero"/>
        <c:auto val="1"/>
        <c:lblAlgn val="ctr"/>
        <c:lblOffset val="100"/>
        <c:noMultiLvlLbl val="0"/>
      </c:catAx>
      <c:valAx>
        <c:axId val="42613885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4410955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672791416083681"/>
          <c:y val="0.0515394885821771"/>
          <c:w val="0.85309592931622"/>
          <c:h val="0.890911098347504"/>
        </c:manualLayout>
      </c:layout>
      <c:scatterChart>
        <c:scatterStyle val="marker"/>
        <c:varyColors val="0"/>
        <c:ser>
          <c:idx val="0"/>
          <c:order val="0"/>
          <c:spPr>
            <a:ln w="28575" cap="rnd" cmpd="sng">
              <a:noFill/>
              <a:prstDash val="solid"/>
              <a:round/>
            </a:ln>
            <a:effectLst/>
            <a:sp3d contourW="28575"/>
          </c:spPr>
          <c:marker>
            <c:symbol val="circle"/>
            <c:size val="6"/>
            <c:spPr>
              <a:noFill/>
              <a:ln w="1587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Лист1!$L$17:$L$25</c:f>
              <c:numCache>
                <c:formatCode>General</c:formatCode>
                <c:ptCount val="9"/>
                <c:pt idx="0">
                  <c:v>-1</c:v>
                </c:pt>
                <c:pt idx="1">
                  <c:v>14.9</c:v>
                </c:pt>
                <c:pt idx="2">
                  <c:v>16.7</c:v>
                </c:pt>
                <c:pt idx="3">
                  <c:v>18.5</c:v>
                </c:pt>
                <c:pt idx="4">
                  <c:v>20.3</c:v>
                </c:pt>
                <c:pt idx="5">
                  <c:v>22.1</c:v>
                </c:pt>
                <c:pt idx="6">
                  <c:v>23.9</c:v>
                </c:pt>
                <c:pt idx="7">
                  <c:v>25.7</c:v>
                </c:pt>
                <c:pt idx="8">
                  <c:v>27.5</c:v>
                </c:pt>
              </c:numCache>
            </c:numRef>
          </c:xVal>
          <c:yVal>
            <c:numRef>
              <c:f>Лист1!$K$17:$K$25</c:f>
              <c:numCache>
                <c:formatCode>General</c:formatCode>
                <c:ptCount val="9"/>
                <c:pt idx="0">
                  <c:v>0</c:v>
                </c:pt>
                <c:pt idx="1">
                  <c:v>0.02</c:v>
                </c:pt>
                <c:pt idx="2">
                  <c:v>0.09</c:v>
                </c:pt>
                <c:pt idx="3">
                  <c:v>0.26</c:v>
                </c:pt>
                <c:pt idx="4">
                  <c:v>0.43</c:v>
                </c:pt>
                <c:pt idx="5">
                  <c:v>0.55</c:v>
                </c:pt>
                <c:pt idx="6">
                  <c:v>0.79</c:v>
                </c:pt>
                <c:pt idx="7">
                  <c:v>0.94</c:v>
                </c:pt>
                <c:pt idx="8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200376"/>
        <c:axId val="2118201032"/>
      </c:scatterChart>
      <c:valAx>
        <c:axId val="2118200376"/>
        <c:scaling>
          <c:orientation val="minMax"/>
          <c:max val="50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8201032"/>
        <c:crosses val="autoZero"/>
        <c:crossBetween val="midCat"/>
        <c:majorUnit val="20"/>
        <c:minorUnit val="10"/>
      </c:valAx>
      <c:valAx>
        <c:axId val="21182010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18200376"/>
        <c:crosses val="autoZero"/>
        <c:crossBetween val="midCat"/>
        <c:minorUnit val="0.01"/>
      </c:valAx>
      <c:spPr>
        <a:noFill/>
        <a:ln>
          <a:noFill/>
        </a:ln>
        <a:effectLst/>
      </c:spPr>
    </c:plotArea>
    <c:plotVisOnly val="0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>
            <a:alpha val="6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38100">
        <a:solidFill>
          <a:schemeClr val="phClr">
            <a:alpha val="60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>
        <a:solidFill>
          <a:schemeClr val="tx1">
            <a:lumMod val="25000"/>
            <a:lumOff val="75000"/>
          </a:schemeClr>
        </a:solidFill>
      </a:ln>
    </cs:spPr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52070</xdr:colOff>
      <xdr:row>0</xdr:row>
      <xdr:rowOff>157480</xdr:rowOff>
    </xdr:from>
    <xdr:to>
      <xdr:col>18</xdr:col>
      <xdr:colOff>253365</xdr:colOff>
      <xdr:row>15</xdr:row>
      <xdr:rowOff>172720</xdr:rowOff>
    </xdr:to>
    <xdr:graphicFrame>
      <xdr:nvGraphicFramePr>
        <xdr:cNvPr id="4" name="Диаграмма 3"/>
        <xdr:cNvGraphicFramePr/>
      </xdr:nvGraphicFramePr>
      <xdr:xfrm>
        <a:off x="8773795" y="157480"/>
        <a:ext cx="4681855" cy="2872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50800</xdr:colOff>
      <xdr:row>18</xdr:row>
      <xdr:rowOff>123825</xdr:rowOff>
    </xdr:from>
    <xdr:to>
      <xdr:col>26</xdr:col>
      <xdr:colOff>249555</xdr:colOff>
      <xdr:row>48</xdr:row>
      <xdr:rowOff>172085</xdr:rowOff>
    </xdr:to>
    <xdr:graphicFrame>
      <xdr:nvGraphicFramePr>
        <xdr:cNvPr id="2" name="Диаграмма 1"/>
        <xdr:cNvGraphicFramePr/>
      </xdr:nvGraphicFramePr>
      <xdr:xfrm>
        <a:off x="11332845" y="3552825"/>
        <a:ext cx="7239635" cy="5763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0.0671170380768556</cdr:x>
      <cdr:y>0.942352036894696</cdr:y>
    </cdr:from>
    <cdr:to>
      <cdr:x>0.331637129320933</cdr:x>
      <cdr:y>0.942352036894696</cdr:y>
    </cdr:to>
    <cdr:cxnSp>
      <cdr:nvCxnSpPr>
        <cdr:cNvPr id="2" name="Прямое соединение 1"/>
        <cdr:cNvCxnSpPr/>
      </cdr:nvCxnSpPr>
      <cdr:spPr xmlns:a="http://schemas.openxmlformats.org/drawingml/2006/main">
        <a:xfrm xmlns:a="http://schemas.openxmlformats.org/drawingml/2006/main">
          <a:off x="485775" y="5449570"/>
          <a:ext cx="1914525" cy="0"/>
        </a:xfrm>
        <a:prstGeom xmlns:a="http://schemas.openxmlformats.org/drawingml/2006/main" prst="line">
          <a:avLst/>
        </a:prstGeom>
        <a:ln w="28575" cmpd="sng">
          <a:solidFill>
            <a:schemeClr val="accent1">
              <a:shade val="50000"/>
            </a:schemeClr>
          </a:solidFill>
          <a:prstDash val="soli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0.331637129320933</cdr:x>
      <cdr:y>0.923465466124959</cdr:y>
    </cdr:from>
    <cdr:to>
      <cdr:x>0.363923495350061</cdr:x>
      <cdr:y>0.923465466124959</cdr:y>
    </cdr:to>
    <cdr:cxnSp>
      <cdr:nvCxnSpPr>
        <cdr:cNvPr id="3" name="Прямое соединение 2"/>
        <cdr:cNvCxnSpPr/>
      </cdr:nvCxnSpPr>
      <cdr:spPr xmlns:a="http://schemas.openxmlformats.org/drawingml/2006/main">
        <a:xfrm xmlns:a="http://schemas.openxmlformats.org/drawingml/2006/main">
          <a:off x="2400300" y="5340350"/>
          <a:ext cx="233680" cy="0"/>
        </a:xfrm>
        <a:prstGeom xmlns:a="http://schemas.openxmlformats.org/drawingml/2006/main" prst="line">
          <a:avLst/>
        </a:prstGeom>
        <a:ln w="28575" cmpd="sng">
          <a:solidFill>
            <a:schemeClr val="accent1">
              <a:shade val="50000"/>
            </a:schemeClr>
          </a:solidFill>
          <a:prstDash val="soli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0.361028250570275</cdr:x>
      <cdr:y>0.861095860327221</cdr:y>
    </cdr:from>
    <cdr:to>
      <cdr:x>0.391823126864362</cdr:x>
      <cdr:y>0.861095860327221</cdr:y>
    </cdr:to>
    <cdr:cxnSp>
      <cdr:nvCxnSpPr>
        <cdr:cNvPr id="4" name="Прямое соединение 3"/>
        <cdr:cNvCxnSpPr/>
      </cdr:nvCxnSpPr>
      <cdr:spPr xmlns:a="http://schemas.openxmlformats.org/drawingml/2006/main">
        <a:xfrm xmlns:a="http://schemas.openxmlformats.org/drawingml/2006/main">
          <a:off x="2613025" y="4979670"/>
          <a:ext cx="222885" cy="0"/>
        </a:xfrm>
        <a:prstGeom xmlns:a="http://schemas.openxmlformats.org/drawingml/2006/main" prst="line">
          <a:avLst/>
        </a:prstGeom>
        <a:ln w="28575" cmpd="sng">
          <a:solidFill>
            <a:schemeClr val="accent1">
              <a:shade val="50000"/>
            </a:schemeClr>
          </a:solidFill>
          <a:prstDash val="soli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0.392174065625548</cdr:x>
      <cdr:y>0.709124849017239</cdr:y>
    </cdr:from>
    <cdr:to>
      <cdr:x>0.423319880680821</cdr:x>
      <cdr:y>0.709124849017239</cdr:y>
    </cdr:to>
    <cdr:cxnSp>
      <cdr:nvCxnSpPr>
        <cdr:cNvPr id="5" name="Прямое соединение 4"/>
        <cdr:cNvCxnSpPr/>
      </cdr:nvCxnSpPr>
      <cdr:spPr xmlns:a="http://schemas.openxmlformats.org/drawingml/2006/main">
        <a:xfrm xmlns:a="http://schemas.openxmlformats.org/drawingml/2006/main">
          <a:off x="2838450" y="4100830"/>
          <a:ext cx="225425" cy="0"/>
        </a:xfrm>
        <a:prstGeom xmlns:a="http://schemas.openxmlformats.org/drawingml/2006/main" prst="line">
          <a:avLst/>
        </a:prstGeom>
        <a:ln w="28575" cmpd="sng">
          <a:solidFill>
            <a:schemeClr val="accent1">
              <a:shade val="50000"/>
            </a:schemeClr>
          </a:solidFill>
          <a:prstDash val="soli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0.422267064397263</cdr:x>
      <cdr:y>0.55891072801142</cdr:y>
    </cdr:from>
    <cdr:to>
      <cdr:x>0.453061940691349</cdr:x>
      <cdr:y>0.55891072801142</cdr:y>
    </cdr:to>
    <cdr:cxnSp>
      <cdr:nvCxnSpPr>
        <cdr:cNvPr id="6" name="Прямое соединение 5"/>
        <cdr:cNvCxnSpPr/>
      </cdr:nvCxnSpPr>
      <cdr:spPr xmlns:a="http://schemas.openxmlformats.org/drawingml/2006/main">
        <a:xfrm xmlns:a="http://schemas.openxmlformats.org/drawingml/2006/main">
          <a:off x="3056255" y="3232150"/>
          <a:ext cx="222885" cy="0"/>
        </a:xfrm>
        <a:prstGeom xmlns:a="http://schemas.openxmlformats.org/drawingml/2006/main" prst="line">
          <a:avLst/>
        </a:prstGeom>
        <a:ln w="28575" cmpd="sng">
          <a:solidFill>
            <a:schemeClr val="accent1">
              <a:shade val="50000"/>
            </a:schemeClr>
          </a:solidFill>
          <a:prstDash val="soli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0.452360063168977</cdr:x>
      <cdr:y>0.45152080816954</cdr:y>
    </cdr:from>
    <cdr:to>
      <cdr:x>0.48350587822425</cdr:x>
      <cdr:y>0.45152080816954</cdr:y>
    </cdr:to>
    <cdr:cxnSp>
      <cdr:nvCxnSpPr>
        <cdr:cNvPr id="7" name="Прямое соединение 6"/>
        <cdr:cNvCxnSpPr/>
      </cdr:nvCxnSpPr>
      <cdr:spPr xmlns:a="http://schemas.openxmlformats.org/drawingml/2006/main">
        <a:xfrm xmlns:a="http://schemas.openxmlformats.org/drawingml/2006/main">
          <a:off x="3274060" y="2611120"/>
          <a:ext cx="225425" cy="0"/>
        </a:xfrm>
        <a:prstGeom xmlns:a="http://schemas.openxmlformats.org/drawingml/2006/main" prst="line">
          <a:avLst/>
        </a:prstGeom>
        <a:ln w="28575" cmpd="sng">
          <a:solidFill>
            <a:schemeClr val="accent1">
              <a:shade val="50000"/>
            </a:schemeClr>
          </a:solidFill>
          <a:prstDash val="soli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0.482014388489209</cdr:x>
      <cdr:y>0.237619413637861</cdr:y>
    </cdr:from>
    <cdr:to>
      <cdr:x>0.513598876995964</cdr:x>
      <cdr:y>0.237619413637861</cdr:y>
    </cdr:to>
    <cdr:cxnSp>
      <cdr:nvCxnSpPr>
        <cdr:cNvPr id="8" name="Прямое соединение 7"/>
        <cdr:cNvCxnSpPr/>
      </cdr:nvCxnSpPr>
      <cdr:spPr xmlns:a="http://schemas.openxmlformats.org/drawingml/2006/main">
        <a:xfrm xmlns:a="http://schemas.openxmlformats.org/drawingml/2006/main">
          <a:off x="3488690" y="1374140"/>
          <a:ext cx="228600" cy="0"/>
        </a:xfrm>
        <a:prstGeom xmlns:a="http://schemas.openxmlformats.org/drawingml/2006/main" prst="line">
          <a:avLst/>
        </a:prstGeom>
        <a:ln w="28575" cmpd="sng">
          <a:solidFill>
            <a:schemeClr val="accent1">
              <a:shade val="50000"/>
            </a:schemeClr>
          </a:solidFill>
          <a:prstDash val="soli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0.513598876995964</cdr:x>
      <cdr:y>0.103546722301526</cdr:y>
    </cdr:from>
    <cdr:to>
      <cdr:x>0.543340937006492</cdr:x>
      <cdr:y>0.103546722301526</cdr:y>
    </cdr:to>
    <cdr:cxnSp>
      <cdr:nvCxnSpPr>
        <cdr:cNvPr id="9" name="Прямое соединение 8"/>
        <cdr:cNvCxnSpPr/>
      </cdr:nvCxnSpPr>
      <cdr:spPr xmlns:a="http://schemas.openxmlformats.org/drawingml/2006/main">
        <a:xfrm xmlns:a="http://schemas.openxmlformats.org/drawingml/2006/main">
          <a:off x="3717290" y="598805"/>
          <a:ext cx="215265" cy="0"/>
        </a:xfrm>
        <a:prstGeom xmlns:a="http://schemas.openxmlformats.org/drawingml/2006/main" prst="line">
          <a:avLst/>
        </a:prstGeom>
        <a:ln w="28575" cmpd="sng">
          <a:solidFill>
            <a:schemeClr val="accent1">
              <a:shade val="50000"/>
            </a:schemeClr>
          </a:solidFill>
          <a:prstDash val="soli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0.541831270301115</cdr:x>
      <cdr:y>0.0502423975319524</cdr:y>
    </cdr:from>
    <cdr:to>
      <cdr:x>0.918795540338864</cdr:x>
      <cdr:y>0.0502423975319524</cdr:y>
    </cdr:to>
    <cdr:cxnSp>
      <cdr:nvCxnSpPr>
        <cdr:cNvPr id="10" name="Прямое соединение 9"/>
        <cdr:cNvCxnSpPr/>
      </cdr:nvCxnSpPr>
      <cdr:spPr xmlns:a="http://schemas.openxmlformats.org/drawingml/2006/main">
        <a:xfrm xmlns:a="http://schemas.openxmlformats.org/drawingml/2006/main">
          <a:off x="3919220" y="289560"/>
          <a:ext cx="2726690" cy="0"/>
        </a:xfrm>
        <a:prstGeom xmlns:a="http://schemas.openxmlformats.org/drawingml/2006/main" prst="line">
          <a:avLst/>
        </a:prstGeom>
        <a:ln w="28575" cmpd="sng">
          <a:solidFill>
            <a:schemeClr val="accent1">
              <a:shade val="50000"/>
            </a:schemeClr>
          </a:solidFill>
          <a:prstDash val="soli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6"/>
  <sheetViews>
    <sheetView tabSelected="1" zoomScale="115" zoomScaleNormal="115" workbookViewId="0">
      <selection activeCell="H19" sqref="H19"/>
    </sheetView>
  </sheetViews>
  <sheetFormatPr defaultColWidth="9.08108108108108" defaultRowHeight="15"/>
  <cols>
    <col min="4" max="5" width="12.8648648648649"/>
    <col min="6" max="6" width="14.009009009009"/>
    <col min="7" max="9" width="12.8648648648649"/>
  </cols>
  <sheetData>
    <row r="1" spans="1:4">
      <c r="A1" s="1" t="s">
        <v>0</v>
      </c>
      <c r="D1" s="1" t="s">
        <v>1</v>
      </c>
    </row>
    <row r="2" spans="1:10">
      <c r="A2" s="2">
        <v>22</v>
      </c>
      <c r="B2" s="2">
        <v>18</v>
      </c>
      <c r="C2" s="2">
        <v>26</v>
      </c>
      <c r="D2" s="2">
        <v>22</v>
      </c>
      <c r="E2" s="2">
        <v>22</v>
      </c>
      <c r="F2" s="2">
        <v>27</v>
      </c>
      <c r="G2" s="2">
        <v>21</v>
      </c>
      <c r="H2" s="2">
        <v>18</v>
      </c>
      <c r="I2" s="2">
        <v>25</v>
      </c>
      <c r="J2" s="2">
        <v>24</v>
      </c>
    </row>
    <row r="3" spans="1:10">
      <c r="A3" s="2">
        <v>23</v>
      </c>
      <c r="B3" s="2">
        <v>26</v>
      </c>
      <c r="C3" s="2">
        <v>19</v>
      </c>
      <c r="D3" s="2">
        <v>25</v>
      </c>
      <c r="E3" s="2">
        <v>25</v>
      </c>
      <c r="F3" s="2">
        <v>21</v>
      </c>
      <c r="G3" s="2">
        <v>24</v>
      </c>
      <c r="H3" s="2">
        <v>23</v>
      </c>
      <c r="I3" s="2">
        <v>25</v>
      </c>
      <c r="J3" s="2">
        <v>24</v>
      </c>
    </row>
    <row r="4" spans="1:10">
      <c r="A4" s="2">
        <v>19</v>
      </c>
      <c r="B4" s="2">
        <v>21</v>
      </c>
      <c r="C4" s="2">
        <v>20</v>
      </c>
      <c r="D4" s="2">
        <v>21</v>
      </c>
      <c r="E4" s="2">
        <v>24</v>
      </c>
      <c r="F4" s="2">
        <v>24</v>
      </c>
      <c r="G4" s="2">
        <v>23</v>
      </c>
      <c r="H4" s="2">
        <v>19</v>
      </c>
      <c r="I4" s="2">
        <v>19</v>
      </c>
      <c r="J4" s="2">
        <v>23</v>
      </c>
    </row>
    <row r="5" spans="1:10">
      <c r="A5" s="2">
        <v>14</v>
      </c>
      <c r="B5" s="2">
        <v>23</v>
      </c>
      <c r="C5" s="2">
        <v>24</v>
      </c>
      <c r="D5" s="2">
        <v>17</v>
      </c>
      <c r="E5" s="2">
        <v>22</v>
      </c>
      <c r="F5" s="2">
        <v>25</v>
      </c>
      <c r="G5" s="2">
        <v>20</v>
      </c>
      <c r="H5" s="2">
        <v>22</v>
      </c>
      <c r="I5" s="2">
        <v>25</v>
      </c>
      <c r="J5" s="2">
        <v>24</v>
      </c>
    </row>
    <row r="6" spans="1:10">
      <c r="A6" s="2">
        <v>22</v>
      </c>
      <c r="B6" s="2">
        <v>23</v>
      </c>
      <c r="C6" s="2">
        <v>24</v>
      </c>
      <c r="D6" s="2">
        <v>17</v>
      </c>
      <c r="E6" s="2">
        <v>20</v>
      </c>
      <c r="F6" s="2">
        <v>19</v>
      </c>
      <c r="G6" s="2">
        <v>26</v>
      </c>
      <c r="H6" s="2">
        <v>25</v>
      </c>
      <c r="I6" s="2">
        <v>21</v>
      </c>
      <c r="J6" s="2">
        <v>23</v>
      </c>
    </row>
    <row r="7" spans="1:10">
      <c r="A7" s="2">
        <v>24</v>
      </c>
      <c r="B7" s="2">
        <v>26</v>
      </c>
      <c r="C7" s="2">
        <v>26</v>
      </c>
      <c r="D7" s="2">
        <v>28</v>
      </c>
      <c r="E7" s="2">
        <v>23</v>
      </c>
      <c r="F7" s="2">
        <v>25</v>
      </c>
      <c r="G7" s="2">
        <v>24</v>
      </c>
      <c r="H7" s="2">
        <v>17</v>
      </c>
      <c r="I7" s="2">
        <v>20</v>
      </c>
      <c r="J7" s="2">
        <v>23</v>
      </c>
    </row>
    <row r="8" spans="1:10">
      <c r="A8" s="2">
        <v>19</v>
      </c>
      <c r="B8" s="2">
        <v>19</v>
      </c>
      <c r="C8" s="2">
        <v>22</v>
      </c>
      <c r="D8" s="2">
        <v>20</v>
      </c>
      <c r="E8" s="2">
        <v>14</v>
      </c>
      <c r="F8" s="2">
        <v>25</v>
      </c>
      <c r="G8" s="2">
        <v>22</v>
      </c>
      <c r="H8" s="2">
        <v>19</v>
      </c>
      <c r="I8" s="2">
        <v>18</v>
      </c>
      <c r="J8" s="2">
        <v>23</v>
      </c>
    </row>
    <row r="9" spans="1:10">
      <c r="A9" s="2">
        <v>22</v>
      </c>
      <c r="B9" s="2">
        <v>19</v>
      </c>
      <c r="C9" s="2">
        <v>24</v>
      </c>
      <c r="D9" s="2">
        <v>21</v>
      </c>
      <c r="E9" s="2">
        <v>23</v>
      </c>
      <c r="F9" s="2">
        <v>27</v>
      </c>
      <c r="G9" s="2">
        <v>19</v>
      </c>
      <c r="H9" s="2">
        <v>27</v>
      </c>
      <c r="I9" s="2">
        <v>24</v>
      </c>
      <c r="J9" s="2">
        <v>23</v>
      </c>
    </row>
    <row r="10" spans="1:10">
      <c r="A10" s="2">
        <v>17</v>
      </c>
      <c r="B10" s="2">
        <v>22</v>
      </c>
      <c r="C10" s="2">
        <v>20</v>
      </c>
      <c r="D10" s="2">
        <v>17</v>
      </c>
      <c r="E10" s="2">
        <v>22</v>
      </c>
      <c r="F10" s="2">
        <v>18</v>
      </c>
      <c r="G10" s="2">
        <v>19</v>
      </c>
      <c r="H10" s="2">
        <v>21</v>
      </c>
      <c r="I10" s="2">
        <v>21</v>
      </c>
      <c r="J10" s="2">
        <v>17</v>
      </c>
    </row>
    <row r="11" spans="1:10">
      <c r="A11" s="2">
        <v>22</v>
      </c>
      <c r="B11" s="2">
        <v>18</v>
      </c>
      <c r="C11" s="2">
        <v>20</v>
      </c>
      <c r="D11" s="2">
        <v>16</v>
      </c>
      <c r="E11" s="2">
        <v>27</v>
      </c>
      <c r="F11" s="2">
        <v>25</v>
      </c>
      <c r="G11" s="2">
        <v>18</v>
      </c>
      <c r="H11" s="2">
        <v>21</v>
      </c>
      <c r="I11" s="2">
        <v>28</v>
      </c>
      <c r="J11" s="2">
        <v>20</v>
      </c>
    </row>
    <row r="12" spans="1:4">
      <c r="A12" t="s">
        <v>2</v>
      </c>
      <c r="C12" t="s">
        <v>3</v>
      </c>
      <c r="D12">
        <f>CEILING(1+LOG(COUNT(2:11),2),1)</f>
        <v>8</v>
      </c>
    </row>
    <row r="13" spans="1:6">
      <c r="A13" t="s">
        <v>4</v>
      </c>
      <c r="B13">
        <f>MIN(A2:J11)</f>
        <v>14</v>
      </c>
      <c r="C13" t="s">
        <v>5</v>
      </c>
      <c r="D13">
        <f>MAX(A2:J11)</f>
        <v>28</v>
      </c>
      <c r="E13" t="s">
        <v>6</v>
      </c>
      <c r="F13">
        <f>D13-B13</f>
        <v>14</v>
      </c>
    </row>
    <row r="14" spans="1:3">
      <c r="A14" t="s">
        <v>7</v>
      </c>
      <c r="C14">
        <f>CEILING(F13/D12,0.1)</f>
        <v>1.8</v>
      </c>
    </row>
    <row r="15" spans="1:1">
      <c r="A15" s="1" t="s">
        <v>8</v>
      </c>
    </row>
    <row r="16" spans="1:7">
      <c r="A16" s="2" t="s">
        <v>9</v>
      </c>
      <c r="B16" s="2" t="s">
        <v>10</v>
      </c>
      <c r="C16" s="2" t="s">
        <v>11</v>
      </c>
      <c r="D16" s="2" t="s">
        <v>12</v>
      </c>
      <c r="E16" s="2" t="s">
        <v>13</v>
      </c>
      <c r="F16" s="2" t="s">
        <v>14</v>
      </c>
      <c r="G16" t="s">
        <v>15</v>
      </c>
    </row>
    <row r="17" spans="1:13">
      <c r="A17" s="2">
        <f>B13</f>
        <v>14</v>
      </c>
      <c r="B17" s="2">
        <f>A17+C14</f>
        <v>15.8</v>
      </c>
      <c r="C17" s="2">
        <f>(A17+B17)/2</f>
        <v>14.9</v>
      </c>
      <c r="D17" s="2">
        <f>COUNTIFS($A$2:$J$11,"&gt;="&amp;A17,$A$2:$J$11,"&lt;"&amp;B17)</f>
        <v>2</v>
      </c>
      <c r="E17" s="2">
        <f>D17/COUNT($2:$11)</f>
        <v>0.02</v>
      </c>
      <c r="F17" s="2">
        <f>CEILING(E17/$C$14,0.001)</f>
        <v>0.012</v>
      </c>
      <c r="G17" t="s">
        <v>16</v>
      </c>
      <c r="H17" s="7">
        <f>SUMPRODUCT(C17:C24,D17:D24)/D25</f>
        <v>21.956</v>
      </c>
      <c r="K17">
        <v>0</v>
      </c>
      <c r="L17">
        <v>-1</v>
      </c>
      <c r="M17">
        <f>C17</f>
        <v>14.9</v>
      </c>
    </row>
    <row r="18" spans="1:13">
      <c r="A18" s="2">
        <f t="shared" ref="A18:A24" si="0">B17</f>
        <v>15.8</v>
      </c>
      <c r="B18" s="2">
        <f t="shared" ref="B18:B24" si="1">A18+$C$14</f>
        <v>17.6</v>
      </c>
      <c r="C18" s="2">
        <f t="shared" ref="C18:C24" si="2">(A18+B18)/2</f>
        <v>16.7</v>
      </c>
      <c r="D18" s="2">
        <f t="shared" ref="D18:D24" si="3">COUNTIFS($A$2:$J$11,"&gt;="&amp;A18,$A$2:$J$11,"&lt;"&amp;B18)</f>
        <v>7</v>
      </c>
      <c r="E18" s="2">
        <f t="shared" ref="E18:E24" si="4">D18/COUNT($2:$11)</f>
        <v>0.07</v>
      </c>
      <c r="F18" s="2">
        <f t="shared" ref="F18:F24" si="5">CEILING(E18/$C$14,0.001)</f>
        <v>0.039</v>
      </c>
      <c r="G18" t="s">
        <v>17</v>
      </c>
      <c r="K18">
        <f>E17</f>
        <v>0.02</v>
      </c>
      <c r="L18">
        <f>M17</f>
        <v>14.9</v>
      </c>
      <c r="M18">
        <f t="shared" ref="M18:M25" si="6">C18</f>
        <v>16.7</v>
      </c>
    </row>
    <row r="19" spans="1:13">
      <c r="A19" s="2">
        <f t="shared" si="0"/>
        <v>17.6</v>
      </c>
      <c r="B19" s="2">
        <f t="shared" si="1"/>
        <v>19.4</v>
      </c>
      <c r="C19" s="2">
        <f t="shared" si="2"/>
        <v>18.5</v>
      </c>
      <c r="D19" s="2">
        <f t="shared" si="3"/>
        <v>17</v>
      </c>
      <c r="E19" s="2">
        <f t="shared" si="4"/>
        <v>0.17</v>
      </c>
      <c r="F19" s="2">
        <f t="shared" si="5"/>
        <v>0.095</v>
      </c>
      <c r="G19" t="s">
        <v>18</v>
      </c>
      <c r="H19" s="7">
        <f>SUMPRODUCT(C17:C24,C17:C24,D17:D24)/D25-H17*H17</f>
        <v>10.2824639999999</v>
      </c>
      <c r="K19">
        <f>K18+E18</f>
        <v>0.09</v>
      </c>
      <c r="L19">
        <f t="shared" ref="L19:L25" si="7">M18</f>
        <v>16.7</v>
      </c>
      <c r="M19">
        <f t="shared" si="6"/>
        <v>18.5</v>
      </c>
    </row>
    <row r="20" spans="1:13">
      <c r="A20" s="2">
        <f t="shared" si="0"/>
        <v>19.4</v>
      </c>
      <c r="B20" s="2">
        <f t="shared" si="1"/>
        <v>21.2</v>
      </c>
      <c r="C20" s="2">
        <f t="shared" si="2"/>
        <v>20.3</v>
      </c>
      <c r="D20" s="2">
        <f t="shared" si="3"/>
        <v>17</v>
      </c>
      <c r="E20" s="2">
        <f t="shared" si="4"/>
        <v>0.17</v>
      </c>
      <c r="F20" s="2">
        <f t="shared" si="5"/>
        <v>0.095</v>
      </c>
      <c r="G20" t="s">
        <v>19</v>
      </c>
      <c r="H20" s="7">
        <f>(D25/(D25-1)*H19)</f>
        <v>10.3863272727272</v>
      </c>
      <c r="K20">
        <f t="shared" ref="K20:K31" si="8">K19+E19</f>
        <v>0.26</v>
      </c>
      <c r="L20">
        <f t="shared" si="7"/>
        <v>18.5</v>
      </c>
      <c r="M20">
        <f t="shared" si="6"/>
        <v>20.3</v>
      </c>
    </row>
    <row r="21" spans="1:13">
      <c r="A21" s="2">
        <f t="shared" si="0"/>
        <v>21.2</v>
      </c>
      <c r="B21" s="2">
        <f t="shared" si="1"/>
        <v>23</v>
      </c>
      <c r="C21" s="2">
        <f t="shared" si="2"/>
        <v>22.1</v>
      </c>
      <c r="D21" s="2">
        <f t="shared" si="3"/>
        <v>12</v>
      </c>
      <c r="E21" s="2">
        <f t="shared" si="4"/>
        <v>0.12</v>
      </c>
      <c r="F21" s="2">
        <f t="shared" si="5"/>
        <v>0.067</v>
      </c>
      <c r="G21" t="s">
        <v>20</v>
      </c>
      <c r="H21" s="7">
        <f>SQRT(H20)</f>
        <v>3.22278253574876</v>
      </c>
      <c r="K21">
        <f t="shared" si="8"/>
        <v>0.43</v>
      </c>
      <c r="L21">
        <f t="shared" si="7"/>
        <v>20.3</v>
      </c>
      <c r="M21">
        <f t="shared" si="6"/>
        <v>22.1</v>
      </c>
    </row>
    <row r="22" spans="1:13">
      <c r="A22" s="2">
        <f t="shared" si="0"/>
        <v>23</v>
      </c>
      <c r="B22" s="2">
        <f t="shared" si="1"/>
        <v>24.8</v>
      </c>
      <c r="C22" s="2">
        <f t="shared" si="2"/>
        <v>23.9</v>
      </c>
      <c r="D22" s="2">
        <f t="shared" si="3"/>
        <v>24</v>
      </c>
      <c r="E22" s="2">
        <f t="shared" si="4"/>
        <v>0.24</v>
      </c>
      <c r="F22" s="2">
        <f t="shared" si="5"/>
        <v>0.134</v>
      </c>
      <c r="K22">
        <f t="shared" si="8"/>
        <v>0.55</v>
      </c>
      <c r="L22">
        <f t="shared" si="7"/>
        <v>22.1</v>
      </c>
      <c r="M22">
        <f t="shared" si="6"/>
        <v>23.9</v>
      </c>
    </row>
    <row r="23" spans="1:13">
      <c r="A23" s="2">
        <f t="shared" si="0"/>
        <v>24.8</v>
      </c>
      <c r="B23" s="2">
        <f t="shared" si="1"/>
        <v>26.6</v>
      </c>
      <c r="C23" s="2">
        <f t="shared" si="2"/>
        <v>25.7</v>
      </c>
      <c r="D23" s="2">
        <f t="shared" si="3"/>
        <v>15</v>
      </c>
      <c r="E23" s="2">
        <f t="shared" si="4"/>
        <v>0.15</v>
      </c>
      <c r="F23" s="2">
        <f t="shared" si="5"/>
        <v>0.084</v>
      </c>
      <c r="K23">
        <f t="shared" si="8"/>
        <v>0.79</v>
      </c>
      <c r="L23">
        <f t="shared" si="7"/>
        <v>23.9</v>
      </c>
      <c r="M23">
        <f t="shared" si="6"/>
        <v>25.7</v>
      </c>
    </row>
    <row r="24" spans="1:13">
      <c r="A24" s="2">
        <f t="shared" si="0"/>
        <v>26.6</v>
      </c>
      <c r="B24" s="2">
        <f t="shared" si="1"/>
        <v>28.4</v>
      </c>
      <c r="C24" s="2">
        <f t="shared" si="2"/>
        <v>27.5</v>
      </c>
      <c r="D24" s="2">
        <f t="shared" si="3"/>
        <v>6</v>
      </c>
      <c r="E24" s="2">
        <f t="shared" si="4"/>
        <v>0.06</v>
      </c>
      <c r="F24" s="2">
        <f t="shared" si="5"/>
        <v>0.034</v>
      </c>
      <c r="K24">
        <f t="shared" si="8"/>
        <v>0.94</v>
      </c>
      <c r="L24">
        <f t="shared" si="7"/>
        <v>25.7</v>
      </c>
      <c r="M24">
        <f t="shared" si="6"/>
        <v>27.5</v>
      </c>
    </row>
    <row r="25" spans="4:13">
      <c r="D25">
        <f>COUNT(2:11)</f>
        <v>100</v>
      </c>
      <c r="K25">
        <f t="shared" si="8"/>
        <v>1</v>
      </c>
      <c r="L25">
        <f t="shared" si="7"/>
        <v>27.5</v>
      </c>
      <c r="M25">
        <v>30</v>
      </c>
    </row>
    <row r="26" spans="1:1">
      <c r="A26" s="1" t="s">
        <v>21</v>
      </c>
    </row>
    <row r="27" spans="1:9">
      <c r="A27" s="2" t="s">
        <v>9</v>
      </c>
      <c r="B27" s="2" t="s">
        <v>10</v>
      </c>
      <c r="C27" s="2" t="s">
        <v>12</v>
      </c>
      <c r="D27" s="2" t="s">
        <v>22</v>
      </c>
      <c r="E27" s="2" t="s">
        <v>23</v>
      </c>
      <c r="F27" s="2" t="s">
        <v>24</v>
      </c>
      <c r="G27" s="2" t="s">
        <v>25</v>
      </c>
      <c r="H27" s="2" t="s">
        <v>26</v>
      </c>
      <c r="I27" s="2" t="s">
        <v>27</v>
      </c>
    </row>
    <row r="28" spans="1:9">
      <c r="A28" s="2">
        <v>-9.99999999999999e+52</v>
      </c>
      <c r="B28" s="3">
        <f>B18</f>
        <v>17.6</v>
      </c>
      <c r="C28" s="4">
        <f t="shared" ref="C28:C34" si="9">COUNTIFS($A$2:$J$11,"&gt;="&amp;A28,$A$2:$J$11,"&lt;"&amp;B28)</f>
        <v>9</v>
      </c>
      <c r="D28" s="5">
        <f t="shared" ref="D28:D33" si="10">NORMDIST(B28,$H$17,$H$21,1)-NORMDIST(A28,$H$17,$H$21,1)</f>
        <v>0.0882473288039037</v>
      </c>
      <c r="E28" s="3">
        <f t="shared" ref="E28:E34" si="11">$C$35*D28</f>
        <v>8.82473288039037</v>
      </c>
      <c r="F28" s="3">
        <f t="shared" ref="F28:F34" si="12">C28-E28</f>
        <v>0.175267119609632</v>
      </c>
      <c r="G28" s="3">
        <f t="shared" ref="G28:G34" si="13">F28*F28</f>
        <v>0.0307185632162571</v>
      </c>
      <c r="H28" s="3">
        <f t="shared" ref="H28:H34" si="14">G28/E28</f>
        <v>0.00348096238522047</v>
      </c>
      <c r="I28" s="3">
        <f t="shared" ref="I28:I34" si="15">C28*C28/E28</f>
        <v>9.17874808199485</v>
      </c>
    </row>
    <row r="29" spans="1:9">
      <c r="A29" s="3">
        <f>B28</f>
        <v>17.6</v>
      </c>
      <c r="B29" s="3">
        <f>A29+$C$14</f>
        <v>19.4</v>
      </c>
      <c r="C29" s="4">
        <f t="shared" si="9"/>
        <v>17</v>
      </c>
      <c r="D29" s="3">
        <f t="shared" si="10"/>
        <v>0.125611442948245</v>
      </c>
      <c r="E29" s="3">
        <f t="shared" si="11"/>
        <v>12.5611442948245</v>
      </c>
      <c r="F29" s="3">
        <f t="shared" si="12"/>
        <v>4.43885570517548</v>
      </c>
      <c r="G29" s="3">
        <f t="shared" si="13"/>
        <v>19.7034399713689</v>
      </c>
      <c r="H29" s="3">
        <f t="shared" si="14"/>
        <v>1.56860231113555</v>
      </c>
      <c r="I29" s="3">
        <f t="shared" si="15"/>
        <v>23.007458016311</v>
      </c>
    </row>
    <row r="30" spans="1:9">
      <c r="A30" s="3">
        <f>B29</f>
        <v>19.4</v>
      </c>
      <c r="B30" s="3">
        <f>A30+$C$14</f>
        <v>21.2</v>
      </c>
      <c r="C30" s="4">
        <f t="shared" si="9"/>
        <v>17</v>
      </c>
      <c r="D30" s="3">
        <f t="shared" si="10"/>
        <v>0.193408634722931</v>
      </c>
      <c r="E30" s="3">
        <f t="shared" si="11"/>
        <v>19.3408634722931</v>
      </c>
      <c r="F30" s="3">
        <f t="shared" si="12"/>
        <v>-2.3408634722931</v>
      </c>
      <c r="G30" s="3">
        <f t="shared" si="13"/>
        <v>5.4796417959161</v>
      </c>
      <c r="H30" s="3">
        <f t="shared" si="14"/>
        <v>0.28331939800754</v>
      </c>
      <c r="I30" s="3">
        <f t="shared" si="15"/>
        <v>14.9424559257144</v>
      </c>
    </row>
    <row r="31" spans="1:9">
      <c r="A31" s="3">
        <f>B30</f>
        <v>21.2</v>
      </c>
      <c r="B31" s="3">
        <f>A31+$C$14</f>
        <v>23</v>
      </c>
      <c r="C31" s="4">
        <f t="shared" si="9"/>
        <v>12</v>
      </c>
      <c r="D31" s="3">
        <f t="shared" si="10"/>
        <v>0.219742252644084</v>
      </c>
      <c r="E31" s="3">
        <f t="shared" si="11"/>
        <v>21.9742252644084</v>
      </c>
      <c r="F31" s="3">
        <f t="shared" si="12"/>
        <v>-9.97422526440836</v>
      </c>
      <c r="G31" s="3">
        <f t="shared" si="13"/>
        <v>99.4851696251621</v>
      </c>
      <c r="H31" s="3">
        <f t="shared" si="14"/>
        <v>4.52735732104732</v>
      </c>
      <c r="I31" s="3">
        <f t="shared" si="15"/>
        <v>6.55313205663895</v>
      </c>
    </row>
    <row r="32" spans="1:9">
      <c r="A32" s="3">
        <f>B31</f>
        <v>23</v>
      </c>
      <c r="B32" s="3">
        <f>A32+$C$14</f>
        <v>24.8</v>
      </c>
      <c r="C32" s="4">
        <f t="shared" si="9"/>
        <v>24</v>
      </c>
      <c r="D32" s="3">
        <f t="shared" si="10"/>
        <v>0.184228246103765</v>
      </c>
      <c r="E32" s="3">
        <f t="shared" si="11"/>
        <v>18.4228246103765</v>
      </c>
      <c r="F32" s="3">
        <f t="shared" si="12"/>
        <v>5.5771753896235</v>
      </c>
      <c r="G32" s="3">
        <f t="shared" si="13"/>
        <v>31.1048853266221</v>
      </c>
      <c r="H32" s="3">
        <f t="shared" si="14"/>
        <v>1.68838850634785</v>
      </c>
      <c r="I32" s="3">
        <f t="shared" si="15"/>
        <v>31.2655638959714</v>
      </c>
    </row>
    <row r="33" spans="1:9">
      <c r="A33" s="3">
        <f>B32</f>
        <v>24.8</v>
      </c>
      <c r="B33" s="3">
        <v>26.6</v>
      </c>
      <c r="C33" s="6">
        <f t="shared" si="9"/>
        <v>15</v>
      </c>
      <c r="D33" s="3">
        <f t="shared" si="10"/>
        <v>0.113968454498307</v>
      </c>
      <c r="E33" s="3">
        <f t="shared" si="11"/>
        <v>11.3968454498306</v>
      </c>
      <c r="F33" s="3">
        <f t="shared" si="12"/>
        <v>3.60315455016935</v>
      </c>
      <c r="G33" s="3">
        <f t="shared" si="13"/>
        <v>12.9827227124061</v>
      </c>
      <c r="H33" s="3">
        <f t="shared" si="14"/>
        <v>1.13915054560988</v>
      </c>
      <c r="I33" s="3">
        <f t="shared" si="15"/>
        <v>19.7423050957792</v>
      </c>
    </row>
    <row r="34" spans="1:9">
      <c r="A34" s="7">
        <v>26.6</v>
      </c>
      <c r="B34" s="8">
        <v>9.99999999999999e+26</v>
      </c>
      <c r="C34" s="6">
        <f t="shared" si="9"/>
        <v>6</v>
      </c>
      <c r="D34" s="3">
        <f>1-NORMDIST(A34,$H$17,$H$21,1)</f>
        <v>0.074793640278765</v>
      </c>
      <c r="E34" s="3">
        <f t="shared" si="11"/>
        <v>7.4793640278765</v>
      </c>
      <c r="F34" s="3">
        <f t="shared" si="12"/>
        <v>-1.4793640278765</v>
      </c>
      <c r="G34" s="3">
        <f t="shared" si="13"/>
        <v>2.18851792697498</v>
      </c>
      <c r="H34" s="3">
        <f t="shared" si="14"/>
        <v>0.29260748892795</v>
      </c>
      <c r="I34" s="3">
        <f t="shared" si="15"/>
        <v>4.81324346105145</v>
      </c>
    </row>
    <row r="35" spans="1:9">
      <c r="A35" t="s">
        <v>28</v>
      </c>
      <c r="B35" s="8"/>
      <c r="C35" s="9">
        <f>SUM(C28:C34)</f>
        <v>100</v>
      </c>
      <c r="D35">
        <f>SUM(D28:D34)</f>
        <v>1</v>
      </c>
      <c r="E35">
        <f>SUM(E28:E34)</f>
        <v>100</v>
      </c>
      <c r="G35" t="s">
        <v>29</v>
      </c>
      <c r="H35" s="10">
        <f>SUM(H28:H34)</f>
        <v>9.50290653346132</v>
      </c>
      <c r="I35" s="7">
        <f>SUM(I28:I34)</f>
        <v>109.502906533461</v>
      </c>
    </row>
    <row r="36" spans="4:8">
      <c r="D36" t="s">
        <v>30</v>
      </c>
      <c r="E36">
        <f>7-2-1</f>
        <v>4</v>
      </c>
      <c r="G36" t="s">
        <v>31</v>
      </c>
      <c r="H36" s="11">
        <f>CHIINV(0.05,E36)</f>
        <v>9.48772903678116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euphoo</dc:creator>
  <cp:lastModifiedBy>euphoo</cp:lastModifiedBy>
  <dcterms:created xsi:type="dcterms:W3CDTF">2025-11-19T02:46:00Z</dcterms:created>
  <dcterms:modified xsi:type="dcterms:W3CDTF">2025-12-02T15:57:48Z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1049-11.1.0.11723</vt:lpwstr>
  </property>
</Properties>
</file>