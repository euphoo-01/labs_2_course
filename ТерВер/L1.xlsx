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65" windowHeight="10312"/>
  </bookViews>
  <sheets>
    <sheet name="Лист1" sheetId="1" r:id="rId1"/>
  </sheets>
  <calcPr calcId="144525"/>
</workbook>
</file>

<file path=xl/sharedStrings.xml><?xml version="1.0" encoding="utf-8"?>
<sst xmlns="http://schemas.openxmlformats.org/spreadsheetml/2006/main" count="34" uniqueCount="31">
  <si>
    <t>Исходные данные</t>
  </si>
  <si>
    <t>Кол-во интервалов</t>
  </si>
  <si>
    <t>k=</t>
  </si>
  <si>
    <t>min=</t>
  </si>
  <si>
    <t>max=</t>
  </si>
  <si>
    <t>W=</t>
  </si>
  <si>
    <t>Длина интервалов</t>
  </si>
  <si>
    <t>Интервальный статистических ряд</t>
  </si>
  <si>
    <t>[xi;</t>
  </si>
  <si>
    <t>xi+1)</t>
  </si>
  <si>
    <t>xi*</t>
  </si>
  <si>
    <t>ni</t>
  </si>
  <si>
    <t>ni/n</t>
  </si>
  <si>
    <t>ni/n/h</t>
  </si>
  <si>
    <t>Выборочное среднее</t>
  </si>
  <si>
    <t>x-ср=</t>
  </si>
  <si>
    <t>Выборочная дисперсия</t>
  </si>
  <si>
    <t>Dв=</t>
  </si>
  <si>
    <t>s^2=</t>
  </si>
  <si>
    <t>s=</t>
  </si>
  <si>
    <t>Проверка гипотезы о законе распределения по критерию Пирсона</t>
  </si>
  <si>
    <t>pi</t>
  </si>
  <si>
    <t>n*pi</t>
  </si>
  <si>
    <t>ni-n*pi</t>
  </si>
  <si>
    <t>(ni-n*pi)^2</t>
  </si>
  <si>
    <t>(ni-n*pi)^2/npi</t>
  </si>
  <si>
    <t>ni^2/npi</t>
  </si>
  <si>
    <t>Суммы</t>
  </si>
  <si>
    <t>X2расч=</t>
  </si>
  <si>
    <t>k-r-1=</t>
  </si>
  <si>
    <t>X2крит=</t>
  </si>
</sst>
</file>

<file path=xl/styles.xml><?xml version="1.0" encoding="utf-8"?>
<styleSheet xmlns="http://schemas.openxmlformats.org/spreadsheetml/2006/main">
  <numFmts count="4">
    <numFmt numFmtId="41" formatCode="_-* #,##0_-;\-* #,##0_-;_-* &quot;-&quot;_-;_-@_-"/>
    <numFmt numFmtId="43" formatCode="_-* #,##0.00_-;\-* #,##0.00_-;_-* &quot;-&quot;??_-;_-@_-"/>
    <numFmt numFmtId="176" formatCode="_-* #,##0\ &quot;₽&quot;_-;\-* #,##0\ &quot;₽&quot;_-;_-* \-\ &quot;₽&quot;_-;_-@_-"/>
    <numFmt numFmtId="177" formatCode="_-* #,##0.00\ &quot;₽&quot;_-;\-* #,##0.00\ &quot;₽&quot;_-;_-* \-??\ &quot;₽&quot;_-;_-@_-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5" fillId="5" borderId="5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9" fillId="2" borderId="6" applyNumberFormat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4" applyNumberFormat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43" fontId="0" fillId="0" borderId="1" xfId="22" applyBorder="1">
      <alignment vertical="center"/>
    </xf>
    <xf numFmtId="41" fontId="0" fillId="0" borderId="1" xfId="41" applyBorder="1">
      <alignment vertical="center"/>
    </xf>
    <xf numFmtId="41" fontId="0" fillId="0" borderId="2" xfId="41" applyBorder="1">
      <alignment vertical="center"/>
    </xf>
    <xf numFmtId="43" fontId="0" fillId="0" borderId="0" xfId="22">
      <alignment vertical="center"/>
    </xf>
    <xf numFmtId="11" fontId="0" fillId="0" borderId="0" xfId="0" applyNumberFormat="1">
      <alignment vertical="center"/>
    </xf>
    <xf numFmtId="0" fontId="0" fillId="0" borderId="3" xfId="0" applyBorder="1">
      <alignment vertical="center"/>
    </xf>
  </cellXfs>
  <cellStyles count="49">
    <cellStyle name="Обычный" xfId="0" builtinId="0"/>
    <cellStyle name="40% — Акцент6" xfId="1" builtinId="51"/>
    <cellStyle name="Акцент4" xfId="2" builtinId="41"/>
    <cellStyle name="20% — Акцент6" xfId="3" builtinId="50"/>
    <cellStyle name="Гиперссылка" xfId="4" builtinId="8"/>
    <cellStyle name="40% — Акцент5" xfId="5" builtinId="47"/>
    <cellStyle name="Акцент3" xfId="6" builtinId="37"/>
    <cellStyle name="20% — Акцент5" xfId="7" builtinId="46"/>
    <cellStyle name="Акцент2" xfId="8" builtinId="33"/>
    <cellStyle name="20% — Акцент4" xfId="9" builtinId="42"/>
    <cellStyle name="Заголовок 2" xfId="10" builtinId="17"/>
    <cellStyle name="60% — Акцент3" xfId="11" builtinId="40"/>
    <cellStyle name="Акцент1" xfId="12" builtinId="29"/>
    <cellStyle name="20% — Акцент3" xfId="13" builtinId="38"/>
    <cellStyle name="Заголовок 1" xfId="14" builtinId="16"/>
    <cellStyle name="Денежный" xfId="15" builtinId="4"/>
    <cellStyle name="60% — Акцент2" xfId="16" builtinId="36"/>
    <cellStyle name="Ввод" xfId="17" builtinId="20"/>
    <cellStyle name="Акцент6" xfId="18" builtinId="49"/>
    <cellStyle name="Процент" xfId="19" builtinId="5"/>
    <cellStyle name="40% — Акцент2" xfId="20" builtinId="35"/>
    <cellStyle name="20% — Акцент2" xfId="21" builtinId="34"/>
    <cellStyle name="Запятая" xfId="22" builtinId="3"/>
    <cellStyle name="Акцент5" xfId="23" builtinId="45"/>
    <cellStyle name="Нейтральный" xfId="24" builtinId="28"/>
    <cellStyle name="40% — Акцент1" xfId="25" builtinId="31"/>
    <cellStyle name="20% — Акцент1" xfId="26" builtinId="30"/>
    <cellStyle name="Открывавшаяся гиперссылка" xfId="27" builtinId="9"/>
    <cellStyle name="Связанная ячейка" xfId="28" builtinId="24"/>
    <cellStyle name="Проверить ячейку" xfId="29" builtinId="23"/>
    <cellStyle name="60% — Акцент5" xfId="30" builtinId="48"/>
    <cellStyle name="Заголовок 4" xfId="31" builtinId="19"/>
    <cellStyle name="Заголовок 3" xfId="32" builtinId="18"/>
    <cellStyle name="60% — Акцент4" xfId="33" builtinId="44"/>
    <cellStyle name="Плохой" xfId="34" builtinId="27"/>
    <cellStyle name="Вычисление" xfId="35" builtinId="22"/>
    <cellStyle name="60% — Акцент6" xfId="36" builtinId="52"/>
    <cellStyle name="Денежный [0]" xfId="37" builtinId="7"/>
    <cellStyle name="Пояснительный текст" xfId="38" builtinId="53"/>
    <cellStyle name="40% — Акцент3" xfId="39" builtinId="39"/>
    <cellStyle name="Заголовок" xfId="40" builtinId="15"/>
    <cellStyle name="Запятая [0]" xfId="41" builtinId="6"/>
    <cellStyle name="Итого" xfId="42" builtinId="25"/>
    <cellStyle name="Предупреждающий текст" xfId="43" builtinId="11"/>
    <cellStyle name="Примечание" xfId="44" builtinId="10"/>
    <cellStyle name="60% — Акцент1" xfId="45" builtinId="32"/>
    <cellStyle name="Хороший" xfId="46" builtinId="26"/>
    <cellStyle name="40% — Акцент4" xfId="47" builtinId="43"/>
    <cellStyle name="Вывод" xfId="48" builtinId="2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Лист1!$C$17:$C$24</c:f>
              <c:strCache>
                <c:ptCount val="1"/>
                <c:pt idx="0">
                  <c:v>14,9 16,7 18,5 20,3 22,1 23,9 25,7 27,5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Лист1!$C$17:$C$24</c:f>
              <c:numCache>
                <c:formatCode>General</c:formatCode>
                <c:ptCount val="8"/>
                <c:pt idx="0">
                  <c:v>14.9</c:v>
                </c:pt>
                <c:pt idx="1">
                  <c:v>16.7</c:v>
                </c:pt>
                <c:pt idx="2">
                  <c:v>18.5</c:v>
                </c:pt>
                <c:pt idx="3">
                  <c:v>20.3</c:v>
                </c:pt>
                <c:pt idx="4">
                  <c:v>22.1</c:v>
                </c:pt>
                <c:pt idx="5">
                  <c:v>23.9</c:v>
                </c:pt>
                <c:pt idx="6">
                  <c:v>25.7</c:v>
                </c:pt>
                <c:pt idx="7">
                  <c:v>27.5</c:v>
                </c:pt>
              </c:numCache>
            </c:numRef>
          </c:cat>
          <c:val>
            <c:numRef>
              <c:f>Лист1!$F$17:$F$24</c:f>
              <c:numCache>
                <c:formatCode>General</c:formatCode>
                <c:ptCount val="8"/>
                <c:pt idx="0">
                  <c:v>0.012</c:v>
                </c:pt>
                <c:pt idx="1">
                  <c:v>0.039</c:v>
                </c:pt>
                <c:pt idx="2">
                  <c:v>0.095</c:v>
                </c:pt>
                <c:pt idx="3">
                  <c:v>0.095</c:v>
                </c:pt>
                <c:pt idx="4">
                  <c:v>0.067</c:v>
                </c:pt>
                <c:pt idx="5">
                  <c:v>0.134</c:v>
                </c:pt>
                <c:pt idx="6">
                  <c:v>0.084</c:v>
                </c:pt>
                <c:pt idx="7">
                  <c:v>0.034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0"/>
        <c:axId val="244109558"/>
        <c:axId val="426138858"/>
      </c:barChart>
      <c:catAx>
        <c:axId val="24410955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6138858"/>
        <c:crosses val="autoZero"/>
        <c:auto val="1"/>
        <c:lblAlgn val="ctr"/>
        <c:lblOffset val="100"/>
        <c:noMultiLvlLbl val="0"/>
      </c:catAx>
      <c:valAx>
        <c:axId val="42613885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ru-RU"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410955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52070</xdr:colOff>
      <xdr:row>0</xdr:row>
      <xdr:rowOff>157480</xdr:rowOff>
    </xdr:from>
    <xdr:to>
      <xdr:col>18</xdr:col>
      <xdr:colOff>253365</xdr:colOff>
      <xdr:row>15</xdr:row>
      <xdr:rowOff>172720</xdr:rowOff>
    </xdr:to>
    <xdr:graphicFrame>
      <xdr:nvGraphicFramePr>
        <xdr:cNvPr id="4" name="Диаграмма 3"/>
        <xdr:cNvGraphicFramePr/>
      </xdr:nvGraphicFramePr>
      <xdr:xfrm>
        <a:off x="8537575" y="157480"/>
        <a:ext cx="4561840" cy="28155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tabSelected="1" workbookViewId="0">
      <selection activeCell="P23" sqref="P23"/>
    </sheetView>
  </sheetViews>
  <sheetFormatPr defaultColWidth="9.08333333333333" defaultRowHeight="14.7"/>
  <cols>
    <col min="4" max="5" width="12.8611111111111"/>
    <col min="6" max="6" width="14.0092592592593"/>
    <col min="7" max="9" width="12.8611111111111"/>
  </cols>
  <sheetData>
    <row r="1" spans="1:1">
      <c r="A1" s="1" t="s">
        <v>0</v>
      </c>
    </row>
    <row r="2" spans="1:10">
      <c r="A2" s="2">
        <v>22</v>
      </c>
      <c r="B2" s="2">
        <v>18</v>
      </c>
      <c r="C2" s="2">
        <v>26</v>
      </c>
      <c r="D2" s="2">
        <v>22</v>
      </c>
      <c r="E2" s="2">
        <v>22</v>
      </c>
      <c r="F2" s="2">
        <v>27</v>
      </c>
      <c r="G2" s="2">
        <v>21</v>
      </c>
      <c r="H2" s="2">
        <v>18</v>
      </c>
      <c r="I2" s="2">
        <v>25</v>
      </c>
      <c r="J2" s="2">
        <v>24</v>
      </c>
    </row>
    <row r="3" spans="1:10">
      <c r="A3" s="2">
        <v>23</v>
      </c>
      <c r="B3" s="2">
        <v>26</v>
      </c>
      <c r="C3" s="2">
        <v>19</v>
      </c>
      <c r="D3" s="2">
        <v>25</v>
      </c>
      <c r="E3" s="2">
        <v>25</v>
      </c>
      <c r="F3" s="2">
        <v>21</v>
      </c>
      <c r="G3" s="2">
        <v>24</v>
      </c>
      <c r="H3" s="2">
        <v>23</v>
      </c>
      <c r="I3" s="2">
        <v>25</v>
      </c>
      <c r="J3" s="2">
        <v>24</v>
      </c>
    </row>
    <row r="4" spans="1:10">
      <c r="A4" s="2">
        <v>19</v>
      </c>
      <c r="B4" s="2">
        <v>21</v>
      </c>
      <c r="C4" s="2">
        <v>20</v>
      </c>
      <c r="D4" s="2">
        <v>21</v>
      </c>
      <c r="E4" s="2">
        <v>24</v>
      </c>
      <c r="F4" s="2">
        <v>24</v>
      </c>
      <c r="G4" s="2">
        <v>23</v>
      </c>
      <c r="H4" s="2">
        <v>19</v>
      </c>
      <c r="I4" s="2">
        <v>19</v>
      </c>
      <c r="J4" s="2">
        <v>23</v>
      </c>
    </row>
    <row r="5" spans="1:10">
      <c r="A5" s="2">
        <v>14</v>
      </c>
      <c r="B5" s="2">
        <v>23</v>
      </c>
      <c r="C5" s="2">
        <v>24</v>
      </c>
      <c r="D5" s="2">
        <v>17</v>
      </c>
      <c r="E5" s="2">
        <v>22</v>
      </c>
      <c r="F5" s="2">
        <v>25</v>
      </c>
      <c r="G5" s="2">
        <v>20</v>
      </c>
      <c r="H5" s="2">
        <v>22</v>
      </c>
      <c r="I5" s="2">
        <v>25</v>
      </c>
      <c r="J5" s="2">
        <v>24</v>
      </c>
    </row>
    <row r="6" spans="1:10">
      <c r="A6" s="2">
        <v>22</v>
      </c>
      <c r="B6" s="2">
        <v>23</v>
      </c>
      <c r="C6" s="2">
        <v>24</v>
      </c>
      <c r="D6" s="2">
        <v>17</v>
      </c>
      <c r="E6" s="2">
        <v>20</v>
      </c>
      <c r="F6" s="2">
        <v>19</v>
      </c>
      <c r="G6" s="2">
        <v>26</v>
      </c>
      <c r="H6" s="2">
        <v>25</v>
      </c>
      <c r="I6" s="2">
        <v>21</v>
      </c>
      <c r="J6" s="2">
        <v>23</v>
      </c>
    </row>
    <row r="7" spans="1:10">
      <c r="A7" s="2">
        <v>24</v>
      </c>
      <c r="B7" s="2">
        <v>26</v>
      </c>
      <c r="C7" s="2">
        <v>26</v>
      </c>
      <c r="D7" s="2">
        <v>28</v>
      </c>
      <c r="E7" s="2">
        <v>23</v>
      </c>
      <c r="F7" s="2">
        <v>25</v>
      </c>
      <c r="G7" s="2">
        <v>24</v>
      </c>
      <c r="H7" s="2">
        <v>17</v>
      </c>
      <c r="I7" s="2">
        <v>20</v>
      </c>
      <c r="J7" s="2">
        <v>23</v>
      </c>
    </row>
    <row r="8" spans="1:10">
      <c r="A8" s="2">
        <v>19</v>
      </c>
      <c r="B8" s="2">
        <v>19</v>
      </c>
      <c r="C8" s="2">
        <v>22</v>
      </c>
      <c r="D8" s="2">
        <v>20</v>
      </c>
      <c r="E8" s="2">
        <v>14</v>
      </c>
      <c r="F8" s="2">
        <v>25</v>
      </c>
      <c r="G8" s="2">
        <v>22</v>
      </c>
      <c r="H8" s="2">
        <v>19</v>
      </c>
      <c r="I8" s="2">
        <v>18</v>
      </c>
      <c r="J8" s="2">
        <v>23</v>
      </c>
    </row>
    <row r="9" spans="1:10">
      <c r="A9" s="2">
        <v>22</v>
      </c>
      <c r="B9" s="2">
        <v>19</v>
      </c>
      <c r="C9" s="2">
        <v>24</v>
      </c>
      <c r="D9" s="2">
        <v>21</v>
      </c>
      <c r="E9" s="2">
        <v>23</v>
      </c>
      <c r="F9" s="2">
        <v>27</v>
      </c>
      <c r="G9" s="2">
        <v>19</v>
      </c>
      <c r="H9" s="2">
        <v>27</v>
      </c>
      <c r="I9" s="2">
        <v>24</v>
      </c>
      <c r="J9" s="2">
        <v>23</v>
      </c>
    </row>
    <row r="10" spans="1:10">
      <c r="A10" s="2">
        <v>17</v>
      </c>
      <c r="B10" s="2">
        <v>22</v>
      </c>
      <c r="C10" s="2">
        <v>20</v>
      </c>
      <c r="D10" s="2">
        <v>17</v>
      </c>
      <c r="E10" s="2">
        <v>22</v>
      </c>
      <c r="F10" s="2">
        <v>18</v>
      </c>
      <c r="G10" s="2">
        <v>19</v>
      </c>
      <c r="H10" s="2">
        <v>21</v>
      </c>
      <c r="I10" s="2">
        <v>21</v>
      </c>
      <c r="J10" s="2">
        <v>17</v>
      </c>
    </row>
    <row r="11" spans="1:10">
      <c r="A11" s="2">
        <v>22</v>
      </c>
      <c r="B11" s="2">
        <v>18</v>
      </c>
      <c r="C11" s="2">
        <v>20</v>
      </c>
      <c r="D11" s="2">
        <v>16</v>
      </c>
      <c r="E11" s="2">
        <v>27</v>
      </c>
      <c r="F11" s="2">
        <v>25</v>
      </c>
      <c r="G11" s="2">
        <v>18</v>
      </c>
      <c r="H11" s="2">
        <v>21</v>
      </c>
      <c r="I11" s="2">
        <v>28</v>
      </c>
      <c r="J11" s="2">
        <v>20</v>
      </c>
    </row>
    <row r="12" spans="1:4">
      <c r="A12" t="s">
        <v>1</v>
      </c>
      <c r="C12" t="s">
        <v>2</v>
      </c>
      <c r="D12">
        <f>CEILING(1+LOG(COUNT(2:11),2),1)</f>
        <v>8</v>
      </c>
    </row>
    <row r="13" spans="1:6">
      <c r="A13" t="s">
        <v>3</v>
      </c>
      <c r="B13">
        <f>MIN(A2:J11)</f>
        <v>14</v>
      </c>
      <c r="C13" t="s">
        <v>4</v>
      </c>
      <c r="D13">
        <f>MAX(A2:J11)</f>
        <v>28</v>
      </c>
      <c r="E13" t="s">
        <v>5</v>
      </c>
      <c r="F13">
        <f>D13-B13</f>
        <v>14</v>
      </c>
    </row>
    <row r="14" spans="1:3">
      <c r="A14" t="s">
        <v>6</v>
      </c>
      <c r="C14">
        <f>CEILING(F13/D12,0.1)</f>
        <v>1.8</v>
      </c>
    </row>
    <row r="15" spans="1:1">
      <c r="A15" s="1" t="s">
        <v>7</v>
      </c>
    </row>
    <row r="16" spans="1:7">
      <c r="A16" s="2" t="s">
        <v>8</v>
      </c>
      <c r="B16" s="2" t="s">
        <v>9</v>
      </c>
      <c r="C16" s="2" t="s">
        <v>10</v>
      </c>
      <c r="D16" s="2" t="s">
        <v>11</v>
      </c>
      <c r="E16" s="2" t="s">
        <v>12</v>
      </c>
      <c r="F16" s="2" t="s">
        <v>13</v>
      </c>
      <c r="G16" t="s">
        <v>14</v>
      </c>
    </row>
    <row r="17" spans="1:8">
      <c r="A17" s="2">
        <f>B13</f>
        <v>14</v>
      </c>
      <c r="B17" s="2">
        <f>A17+C14</f>
        <v>15.8</v>
      </c>
      <c r="C17" s="2">
        <f>(A17+B17)/2</f>
        <v>14.9</v>
      </c>
      <c r="D17" s="2">
        <f>COUNTIFS($A$2:$J$11,"&gt;="&amp;A17,$A$2:$J$11,"&lt;"&amp;B17)</f>
        <v>2</v>
      </c>
      <c r="E17" s="2">
        <f>D17/COUNT($2:$11)</f>
        <v>0.02</v>
      </c>
      <c r="F17" s="2">
        <f>CEILING(E17/$C$14,0.001)</f>
        <v>0.012</v>
      </c>
      <c r="G17" t="s">
        <v>15</v>
      </c>
      <c r="H17" s="6">
        <f>SUMPRODUCT(C17:C24,D17:D24)/D25</f>
        <v>21.956</v>
      </c>
    </row>
    <row r="18" spans="1:7">
      <c r="A18" s="2">
        <f t="shared" ref="A18:A24" si="0">B17</f>
        <v>15.8</v>
      </c>
      <c r="B18" s="2">
        <f t="shared" ref="B18:B24" si="1">A18+$C$14</f>
        <v>17.6</v>
      </c>
      <c r="C18" s="2">
        <f t="shared" ref="C18:C24" si="2">(A18+B18)/2</f>
        <v>16.7</v>
      </c>
      <c r="D18" s="2">
        <f t="shared" ref="D18:D24" si="3">COUNTIFS($A$2:$J$11,"&gt;="&amp;A18,$A$2:$J$11,"&lt;"&amp;B18)</f>
        <v>7</v>
      </c>
      <c r="E18" s="2">
        <f t="shared" ref="E18:E24" si="4">D18/COUNT($2:$11)</f>
        <v>0.07</v>
      </c>
      <c r="F18" s="2">
        <f t="shared" ref="F18:F24" si="5">CEILING(E18/$C$14,0.001)</f>
        <v>0.039</v>
      </c>
      <c r="G18" t="s">
        <v>16</v>
      </c>
    </row>
    <row r="19" spans="1:8">
      <c r="A19" s="2">
        <f t="shared" si="0"/>
        <v>17.6</v>
      </c>
      <c r="B19" s="2">
        <f t="shared" si="1"/>
        <v>19.4</v>
      </c>
      <c r="C19" s="2">
        <f t="shared" si="2"/>
        <v>18.5</v>
      </c>
      <c r="D19" s="2">
        <f t="shared" si="3"/>
        <v>17</v>
      </c>
      <c r="E19" s="2">
        <f t="shared" si="4"/>
        <v>0.17</v>
      </c>
      <c r="F19" s="2">
        <f t="shared" si="5"/>
        <v>0.095</v>
      </c>
      <c r="G19" t="s">
        <v>17</v>
      </c>
      <c r="H19" s="6">
        <f>SUMPRODUCT(C17:C24,C17:C24,D17:D24)/D25-H17*H17</f>
        <v>10.282464</v>
      </c>
    </row>
    <row r="20" spans="1:8">
      <c r="A20" s="2">
        <f t="shared" si="0"/>
        <v>19.4</v>
      </c>
      <c r="B20" s="2">
        <f t="shared" si="1"/>
        <v>21.2</v>
      </c>
      <c r="C20" s="2">
        <f t="shared" si="2"/>
        <v>20.3</v>
      </c>
      <c r="D20" s="2">
        <f t="shared" si="3"/>
        <v>17</v>
      </c>
      <c r="E20" s="2">
        <f t="shared" si="4"/>
        <v>0.17</v>
      </c>
      <c r="F20" s="2">
        <f t="shared" si="5"/>
        <v>0.095</v>
      </c>
      <c r="G20" t="s">
        <v>18</v>
      </c>
      <c r="H20" s="6">
        <f>(D25/(D25-1)*H19)</f>
        <v>10.3863272727273</v>
      </c>
    </row>
    <row r="21" spans="1:8">
      <c r="A21" s="2">
        <f t="shared" si="0"/>
        <v>21.2</v>
      </c>
      <c r="B21" s="2">
        <f t="shared" si="1"/>
        <v>23</v>
      </c>
      <c r="C21" s="2">
        <f t="shared" si="2"/>
        <v>22.1</v>
      </c>
      <c r="D21" s="2">
        <f t="shared" si="3"/>
        <v>12</v>
      </c>
      <c r="E21" s="2">
        <f t="shared" si="4"/>
        <v>0.12</v>
      </c>
      <c r="F21" s="2">
        <f t="shared" si="5"/>
        <v>0.067</v>
      </c>
      <c r="G21" t="s">
        <v>19</v>
      </c>
      <c r="H21" s="6">
        <f>SQRT(H20)</f>
        <v>3.22278253574877</v>
      </c>
    </row>
    <row r="22" spans="1:6">
      <c r="A22" s="2">
        <f t="shared" si="0"/>
        <v>23</v>
      </c>
      <c r="B22" s="2">
        <f t="shared" si="1"/>
        <v>24.8</v>
      </c>
      <c r="C22" s="2">
        <f t="shared" si="2"/>
        <v>23.9</v>
      </c>
      <c r="D22" s="2">
        <f t="shared" si="3"/>
        <v>24</v>
      </c>
      <c r="E22" s="2">
        <f t="shared" si="4"/>
        <v>0.24</v>
      </c>
      <c r="F22" s="2">
        <f t="shared" si="5"/>
        <v>0.134</v>
      </c>
    </row>
    <row r="23" spans="1:6">
      <c r="A23" s="2">
        <f t="shared" si="0"/>
        <v>24.8</v>
      </c>
      <c r="B23" s="2">
        <f t="shared" si="1"/>
        <v>26.6</v>
      </c>
      <c r="C23" s="2">
        <f t="shared" si="2"/>
        <v>25.7</v>
      </c>
      <c r="D23" s="2">
        <f t="shared" si="3"/>
        <v>15</v>
      </c>
      <c r="E23" s="2">
        <f t="shared" si="4"/>
        <v>0.15</v>
      </c>
      <c r="F23" s="2">
        <f t="shared" si="5"/>
        <v>0.084</v>
      </c>
    </row>
    <row r="24" spans="1:6">
      <c r="A24" s="2">
        <f t="shared" si="0"/>
        <v>26.6</v>
      </c>
      <c r="B24" s="2">
        <f t="shared" si="1"/>
        <v>28.4</v>
      </c>
      <c r="C24" s="2">
        <f t="shared" si="2"/>
        <v>27.5</v>
      </c>
      <c r="D24" s="2">
        <f t="shared" si="3"/>
        <v>6</v>
      </c>
      <c r="E24" s="2">
        <f t="shared" si="4"/>
        <v>0.06</v>
      </c>
      <c r="F24" s="2">
        <f t="shared" si="5"/>
        <v>0.034</v>
      </c>
    </row>
    <row r="25" spans="4:4">
      <c r="D25">
        <f>COUNT(2:11)</f>
        <v>100</v>
      </c>
    </row>
    <row r="26" spans="1:1">
      <c r="A26" s="1" t="s">
        <v>20</v>
      </c>
    </row>
    <row r="27" spans="1:9">
      <c r="A27" s="2" t="s">
        <v>8</v>
      </c>
      <c r="B27" s="2" t="s">
        <v>9</v>
      </c>
      <c r="C27" s="2" t="s">
        <v>11</v>
      </c>
      <c r="D27" s="2" t="s">
        <v>21</v>
      </c>
      <c r="E27" s="2" t="s">
        <v>22</v>
      </c>
      <c r="F27" s="2" t="s">
        <v>23</v>
      </c>
      <c r="G27" s="2" t="s">
        <v>24</v>
      </c>
      <c r="H27" s="2" t="s">
        <v>25</v>
      </c>
      <c r="I27" s="2" t="s">
        <v>26</v>
      </c>
    </row>
    <row r="28" spans="1:9">
      <c r="A28" s="2">
        <v>-9.99999999999999e+52</v>
      </c>
      <c r="B28" s="3">
        <f>B18</f>
        <v>17.6</v>
      </c>
      <c r="C28" s="4">
        <f t="shared" ref="C28:C34" si="6">COUNTIFS($A$2:$J$11,"&gt;="&amp;A28,$A$2:$J$11,"&lt;"&amp;B28)</f>
        <v>9</v>
      </c>
      <c r="D28" s="3">
        <f t="shared" ref="D28:D33" si="7">NORMDIST(B28,$H$17,$H$21,1)-NORMDIST(A28,$H$17,$H$21,1)</f>
        <v>0.0882473288039045</v>
      </c>
      <c r="E28" s="3">
        <f t="shared" ref="E28:E34" si="8">$C$35*D28</f>
        <v>8.82473288039045</v>
      </c>
      <c r="F28" s="3">
        <f t="shared" ref="F28:F34" si="9">C28-E28</f>
        <v>0.175267119609552</v>
      </c>
      <c r="G28" s="3">
        <f t="shared" ref="G28:G34" si="10">F28*F28</f>
        <v>0.0307185632162291</v>
      </c>
      <c r="H28" s="3">
        <f t="shared" ref="H28:H34" si="11">G28/E28</f>
        <v>0.00348096238521726</v>
      </c>
      <c r="I28" s="3">
        <f t="shared" ref="I28:I34" si="12">C28*C28/E28</f>
        <v>9.17874808199477</v>
      </c>
    </row>
    <row r="29" spans="1:9">
      <c r="A29" s="3">
        <f>B28</f>
        <v>17.6</v>
      </c>
      <c r="B29" s="3">
        <f>A29+$C$14</f>
        <v>19.4</v>
      </c>
      <c r="C29" s="4">
        <f t="shared" si="6"/>
        <v>17</v>
      </c>
      <c r="D29" s="3">
        <f t="shared" si="7"/>
        <v>0.125611442948245</v>
      </c>
      <c r="E29" s="3">
        <f t="shared" si="8"/>
        <v>12.5611442948245</v>
      </c>
      <c r="F29" s="3">
        <f t="shared" si="9"/>
        <v>4.4388557051755</v>
      </c>
      <c r="G29" s="3">
        <f t="shared" si="10"/>
        <v>19.7034399713691</v>
      </c>
      <c r="H29" s="3">
        <f t="shared" si="11"/>
        <v>1.56860231113557</v>
      </c>
      <c r="I29" s="3">
        <f t="shared" si="12"/>
        <v>23.0074580163111</v>
      </c>
    </row>
    <row r="30" spans="1:9">
      <c r="A30" s="3">
        <f>B29</f>
        <v>19.4</v>
      </c>
      <c r="B30" s="3">
        <f>A30+$C$14</f>
        <v>21.2</v>
      </c>
      <c r="C30" s="4">
        <f t="shared" si="6"/>
        <v>17</v>
      </c>
      <c r="D30" s="3">
        <f t="shared" si="7"/>
        <v>0.193408634722931</v>
      </c>
      <c r="E30" s="3">
        <f t="shared" si="8"/>
        <v>19.3408634722931</v>
      </c>
      <c r="F30" s="3">
        <f t="shared" si="9"/>
        <v>-2.34086347229306</v>
      </c>
      <c r="G30" s="3">
        <f t="shared" si="10"/>
        <v>5.47964179591592</v>
      </c>
      <c r="H30" s="3">
        <f t="shared" si="11"/>
        <v>0.283319398007531</v>
      </c>
      <c r="I30" s="3">
        <f t="shared" si="12"/>
        <v>14.9424559257145</v>
      </c>
    </row>
    <row r="31" spans="1:9">
      <c r="A31" s="3">
        <f>B30</f>
        <v>21.2</v>
      </c>
      <c r="B31" s="3">
        <f>A31+$C$14</f>
        <v>23</v>
      </c>
      <c r="C31" s="4">
        <f t="shared" si="6"/>
        <v>12</v>
      </c>
      <c r="D31" s="3">
        <f t="shared" si="7"/>
        <v>0.219742252644083</v>
      </c>
      <c r="E31" s="3">
        <f t="shared" si="8"/>
        <v>21.9742252644083</v>
      </c>
      <c r="F31" s="3">
        <f t="shared" si="9"/>
        <v>-9.97422526440831</v>
      </c>
      <c r="G31" s="3">
        <f t="shared" si="10"/>
        <v>99.485169625161</v>
      </c>
      <c r="H31" s="3">
        <f t="shared" si="11"/>
        <v>4.52735732104728</v>
      </c>
      <c r="I31" s="3">
        <f t="shared" si="12"/>
        <v>6.55313205663897</v>
      </c>
    </row>
    <row r="32" spans="1:9">
      <c r="A32" s="3">
        <f>B31</f>
        <v>23</v>
      </c>
      <c r="B32" s="3">
        <f>A32+$C$14</f>
        <v>24.8</v>
      </c>
      <c r="C32" s="4">
        <f t="shared" si="6"/>
        <v>24</v>
      </c>
      <c r="D32" s="3">
        <f t="shared" si="7"/>
        <v>0.184228246103765</v>
      </c>
      <c r="E32" s="3">
        <f t="shared" si="8"/>
        <v>18.4228246103765</v>
      </c>
      <c r="F32" s="3">
        <f t="shared" si="9"/>
        <v>5.57717538962353</v>
      </c>
      <c r="G32" s="3">
        <f t="shared" si="10"/>
        <v>31.1048853266224</v>
      </c>
      <c r="H32" s="3">
        <f t="shared" si="11"/>
        <v>1.68838850634788</v>
      </c>
      <c r="I32" s="3">
        <f t="shared" si="12"/>
        <v>31.2655638959714</v>
      </c>
    </row>
    <row r="33" spans="1:9">
      <c r="A33" s="3">
        <f>B32</f>
        <v>24.8</v>
      </c>
      <c r="B33" s="3">
        <v>26.6</v>
      </c>
      <c r="C33" s="5">
        <f t="shared" si="6"/>
        <v>15</v>
      </c>
      <c r="D33" s="3">
        <f t="shared" si="7"/>
        <v>0.113968454498307</v>
      </c>
      <c r="E33" s="3">
        <f t="shared" si="8"/>
        <v>11.3968454498307</v>
      </c>
      <c r="F33" s="3">
        <f t="shared" si="9"/>
        <v>3.60315455016933</v>
      </c>
      <c r="G33" s="3">
        <f t="shared" si="10"/>
        <v>12.9827227124059</v>
      </c>
      <c r="H33" s="3">
        <f t="shared" si="11"/>
        <v>1.13915054560987</v>
      </c>
      <c r="I33" s="3">
        <f t="shared" si="12"/>
        <v>19.7423050957792</v>
      </c>
    </row>
    <row r="34" spans="1:9">
      <c r="A34" s="6">
        <v>26.6</v>
      </c>
      <c r="B34" s="7">
        <v>9.99999999999999e+26</v>
      </c>
      <c r="C34" s="5">
        <f t="shared" si="6"/>
        <v>6</v>
      </c>
      <c r="D34" s="3">
        <f>1-NORMDIST(A34,$H$17,$H$21,1)</f>
        <v>0.0747936402787654</v>
      </c>
      <c r="E34" s="3">
        <f t="shared" si="8"/>
        <v>7.47936402787654</v>
      </c>
      <c r="F34" s="3">
        <f t="shared" si="9"/>
        <v>-1.47936402787654</v>
      </c>
      <c r="G34" s="3">
        <f t="shared" si="10"/>
        <v>2.18851792697511</v>
      </c>
      <c r="H34" s="3">
        <f t="shared" si="11"/>
        <v>0.292607488927966</v>
      </c>
      <c r="I34" s="3">
        <f t="shared" si="12"/>
        <v>4.81324346105142</v>
      </c>
    </row>
    <row r="35" spans="1:9">
      <c r="A35" t="s">
        <v>27</v>
      </c>
      <c r="B35" s="7"/>
      <c r="C35" s="8">
        <f>SUM(C28:C34)</f>
        <v>100</v>
      </c>
      <c r="D35">
        <f>SUM(D28:D34)</f>
        <v>1</v>
      </c>
      <c r="E35">
        <f>SUM(E28:E34)</f>
        <v>100</v>
      </c>
      <c r="G35" t="s">
        <v>28</v>
      </c>
      <c r="H35" s="6">
        <f>SUM(H28:H34)</f>
        <v>9.50290653346131</v>
      </c>
      <c r="I35" s="6">
        <f>SUM(I28:I34)</f>
        <v>109.502906533461</v>
      </c>
    </row>
    <row r="36" spans="4:8">
      <c r="D36" t="s">
        <v>29</v>
      </c>
      <c r="E36">
        <f>7-2-1</f>
        <v>4</v>
      </c>
      <c r="G36" t="s">
        <v>30</v>
      </c>
      <c r="H36" s="6">
        <f>CHIINV(0.05,E36)</f>
        <v>9.48772903678116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euphoo</dc:creator>
  <cp:lastModifiedBy>euphoo</cp:lastModifiedBy>
  <dcterms:created xsi:type="dcterms:W3CDTF">2025-11-18T17:46:00Z</dcterms:created>
  <dcterms:modified xsi:type="dcterms:W3CDTF">2025-11-18T16:25:30Z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1049-11.1.0.11723</vt:lpwstr>
  </property>
</Properties>
</file>