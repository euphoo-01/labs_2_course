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15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<sst xmlns="http://schemas.openxmlformats.org/spreadsheetml/2006/main" count="45" uniqueCount="44">
  <si>
    <t>ЗАДАЧА 1</t>
  </si>
  <si>
    <t>ЗАДАЧА 2</t>
  </si>
  <si>
    <t>СУММ</t>
  </si>
  <si>
    <t>СРЕД</t>
  </si>
  <si>
    <t>s2</t>
  </si>
  <si>
    <t>n</t>
  </si>
  <si>
    <t>a0=</t>
  </si>
  <si>
    <t>xвыб=</t>
  </si>
  <si>
    <t>s2=</t>
  </si>
  <si>
    <t>n=</t>
  </si>
  <si>
    <t>t-набл=</t>
  </si>
  <si>
    <t>s2-2</t>
  </si>
  <si>
    <t>s2-об</t>
  </si>
  <si>
    <t>t-крит=</t>
  </si>
  <si>
    <t>s2-4</t>
  </si>
  <si>
    <t>s-ст</t>
  </si>
  <si>
    <t>p-знач=</t>
  </si>
  <si>
    <t>F-набл</t>
  </si>
  <si>
    <t>t-набл</t>
  </si>
  <si>
    <t>F-крит-прав</t>
  </si>
  <si>
    <t>ст. св.</t>
  </si>
  <si>
    <t>F-крит-лев</t>
  </si>
  <si>
    <t>p</t>
  </si>
  <si>
    <t>t-крит</t>
  </si>
  <si>
    <t>Нет оснований отвергать  H_0: нет статистически значимых различий</t>
  </si>
  <si>
    <t>Однофакторный дисперсионный анализ</t>
  </si>
  <si>
    <t>ИТОГИ</t>
  </si>
  <si>
    <t>Группы</t>
  </si>
  <si>
    <t>Счет</t>
  </si>
  <si>
    <t>Сумма</t>
  </si>
  <si>
    <t>Среднее</t>
  </si>
  <si>
    <t>Дисперсия</t>
  </si>
  <si>
    <t>ЗАДАЧА 3</t>
  </si>
  <si>
    <t>Дисперсионный анализ</t>
  </si>
  <si>
    <t>Источник</t>
  </si>
  <si>
    <t>SS</t>
  </si>
  <si>
    <t>df</t>
  </si>
  <si>
    <t>MS</t>
  </si>
  <si>
    <t>F</t>
  </si>
  <si>
    <t>P-зн</t>
  </si>
  <si>
    <t>F-крит</t>
  </si>
  <si>
    <t>Между группами</t>
  </si>
  <si>
    <t>Внутри групп</t>
  </si>
  <si>
    <t>Итого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</si>
</sst>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* #,##0.00\ &quot;₽&quot;_-;\-* #,##0.00\ &quot;₽&quot;_-;_-* \-??\ &quot;₽&quot;_-;_-@_-"/>
    <numFmt numFmtId="177" formatCode="_-* #,##0\ &quot;₽&quot;_-;\-* #,##0\ &quot;₽&quot;_-;_-* \-\ &quot;₽&quot;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6" borderId="7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2" applyNumberFormat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abSelected="1" topLeftCell="C1" workbookViewId="0">
      <selection activeCell="O19" sqref="O19"/>
    </sheetView>
  </sheetViews>
  <sheetFormatPr defaultColWidth="8.61666666666667" defaultRowHeight="15"/>
  <cols>
    <col min="2" max="2" width="12.7833333333333"/>
    <col min="7" max="7" width="14.125" customWidth="1"/>
    <col min="8" max="8" width="12.7833333333333"/>
    <col min="10" max="10" width="13.9333333333333"/>
    <col min="11" max="11" width="12.625"/>
    <col min="14" max="15" width="12.7833333333333"/>
  </cols>
  <sheetData>
    <row r="1" spans="1:16">
      <c r="A1" s="1" t="s">
        <v>0</v>
      </c>
      <c r="G1" s="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>
      <c r="A2" t="s">
        <v>6</v>
      </c>
      <c r="B2">
        <v>12</v>
      </c>
      <c r="G2">
        <v>1</v>
      </c>
      <c r="H2">
        <v>7.3</v>
      </c>
      <c r="I2">
        <v>8.3</v>
      </c>
      <c r="J2">
        <v>7.6</v>
      </c>
      <c r="K2">
        <v>8.4</v>
      </c>
      <c r="L2">
        <v>8.3</v>
      </c>
      <c r="M2">
        <f>SUM(H2:L2)</f>
        <v>39.9</v>
      </c>
      <c r="N2">
        <f>AVERAGE(H2:L2)</f>
        <v>7.98</v>
      </c>
      <c r="O2">
        <f>VAR(H2:L2)</f>
        <v>0.247</v>
      </c>
      <c r="P2">
        <f>COUNT(H2:L2)</f>
        <v>5</v>
      </c>
    </row>
    <row r="3" spans="1:16">
      <c r="A3" t="s">
        <v>7</v>
      </c>
      <c r="B3">
        <v>12.075</v>
      </c>
      <c r="G3">
        <v>2</v>
      </c>
      <c r="H3">
        <v>5.4</v>
      </c>
      <c r="I3">
        <v>7.4</v>
      </c>
      <c r="J3">
        <v>7.1</v>
      </c>
      <c r="M3">
        <f>SUM(H3:L3)</f>
        <v>19.9</v>
      </c>
      <c r="N3">
        <f>AVERAGE(H3:L3)</f>
        <v>6.63333333333333</v>
      </c>
      <c r="O3">
        <f>VAR(H3:L3)</f>
        <v>1.16333333333333</v>
      </c>
      <c r="P3">
        <f>COUNT(H3:L3)</f>
        <v>3</v>
      </c>
    </row>
    <row r="4" spans="1:16">
      <c r="A4" t="s">
        <v>8</v>
      </c>
      <c r="B4">
        <v>0.069</v>
      </c>
      <c r="G4">
        <v>3</v>
      </c>
      <c r="H4">
        <v>8.1</v>
      </c>
      <c r="I4">
        <v>6.4</v>
      </c>
      <c r="M4">
        <f>SUM(H4:L4)</f>
        <v>14.5</v>
      </c>
      <c r="N4">
        <f>AVERAGE(H4:L4)</f>
        <v>7.25</v>
      </c>
      <c r="O4">
        <f>VAR(H4:L4)</f>
        <v>1.445</v>
      </c>
      <c r="P4">
        <f>COUNT(H4:L4)</f>
        <v>2</v>
      </c>
    </row>
    <row r="5" spans="1:16">
      <c r="A5" t="s">
        <v>9</v>
      </c>
      <c r="B5">
        <v>90</v>
      </c>
      <c r="G5">
        <v>4</v>
      </c>
      <c r="H5">
        <v>7.9</v>
      </c>
      <c r="I5">
        <v>9.5</v>
      </c>
      <c r="J5">
        <v>10</v>
      </c>
      <c r="K5">
        <v>7.1</v>
      </c>
      <c r="M5">
        <f>SUM(H5:L5)</f>
        <v>34.5</v>
      </c>
      <c r="N5">
        <f>AVERAGE(H5:L5)</f>
        <v>8.625</v>
      </c>
      <c r="O5">
        <f>VAR(H5:L5)</f>
        <v>1.83583333333333</v>
      </c>
      <c r="P5">
        <f>COUNT(H5:L5)</f>
        <v>4</v>
      </c>
    </row>
    <row r="6" spans="1:10">
      <c r="A6" t="s">
        <v>10</v>
      </c>
      <c r="B6">
        <f>(B3-B2)/SQRT(B4/B5)</f>
        <v>2.70868169442978</v>
      </c>
      <c r="G6" t="s">
        <v>11</v>
      </c>
      <c r="H6">
        <f>VAR(H3,J3,I3)</f>
        <v>1.16333333333333</v>
      </c>
      <c r="I6" t="s">
        <v>12</v>
      </c>
      <c r="J6">
        <f>((2*H6)+(3*H7))/(3+4-2)</f>
        <v>1.56683333333333</v>
      </c>
    </row>
    <row r="7" spans="1:10">
      <c r="A7" t="s">
        <v>13</v>
      </c>
      <c r="B7">
        <f>TINV(0.05,B5-1)</f>
        <v>1.98697869950628</v>
      </c>
      <c r="G7" t="s">
        <v>14</v>
      </c>
      <c r="H7">
        <f>VAR(H5:K5)</f>
        <v>1.83583333333333</v>
      </c>
      <c r="I7" t="s">
        <v>15</v>
      </c>
      <c r="J7">
        <f>SQRT(J6*(1/3+1/4))</f>
        <v>0.956026208380874</v>
      </c>
    </row>
    <row r="8" spans="1:10">
      <c r="A8" t="s">
        <v>16</v>
      </c>
      <c r="B8">
        <f>2*(1-TDIST(ABS(2.784),89,1))</f>
        <v>1.99344206828523</v>
      </c>
      <c r="G8" t="s">
        <v>17</v>
      </c>
      <c r="H8">
        <f>H7/H6</f>
        <v>1.57808022922636</v>
      </c>
      <c r="I8" t="s">
        <v>18</v>
      </c>
      <c r="J8">
        <f>AVERAGE(H3:J3)-AVERAGE(H5:K5)/J7</f>
        <v>-2.3883858668205</v>
      </c>
    </row>
    <row r="9" spans="7:10">
      <c r="G9" t="s">
        <v>19</v>
      </c>
      <c r="H9" s="2">
        <f>FINV(0.025,3,2)</f>
        <v>39.1654945640137</v>
      </c>
      <c r="I9" t="s">
        <v>20</v>
      </c>
      <c r="J9">
        <f>3+4-2</f>
        <v>5</v>
      </c>
    </row>
    <row r="10" spans="7:10">
      <c r="G10" t="s">
        <v>21</v>
      </c>
      <c r="H10">
        <f>FINV(0.975,3,2)</f>
        <v>0.0623281829005576</v>
      </c>
      <c r="I10" t="s">
        <v>22</v>
      </c>
      <c r="J10">
        <f>2*TDIST(ABS(J8),5,1)</f>
        <v>0.0625124603476336</v>
      </c>
    </row>
    <row r="11" spans="7:10">
      <c r="G11" t="s">
        <v>22</v>
      </c>
      <c r="H11">
        <f>TTEST(H3:J3,H5:K5,2,3)</f>
        <v>0.0834892796196558</v>
      </c>
      <c r="I11" t="s">
        <v>23</v>
      </c>
      <c r="J11">
        <f>TINV(0.05,5)</f>
        <v>2.57058183563632</v>
      </c>
    </row>
    <row r="12" spans="7:7">
      <c r="G12" t="s">
        <v>24</v>
      </c>
    </row>
    <row r="14" spans="7:7">
      <c r="G14" t="s">
        <v>25</v>
      </c>
    </row>
    <row r="16" spans="7:7">
      <c r="G16" t="s">
        <v>26</v>
      </c>
    </row>
    <row r="17" spans="7:11">
      <c r="G17" s="3" t="s">
        <v>27</v>
      </c>
      <c r="H17" s="3" t="s">
        <v>28</v>
      </c>
      <c r="I17" s="3" t="s">
        <v>29</v>
      </c>
      <c r="J17" s="3" t="s">
        <v>30</v>
      </c>
      <c r="K17" s="3" t="s">
        <v>31</v>
      </c>
    </row>
    <row r="18" spans="7:11">
      <c r="G18" s="3">
        <v>1</v>
      </c>
      <c r="H18" s="3">
        <f>COUNT(H2:L2)</f>
        <v>5</v>
      </c>
      <c r="I18" s="3">
        <f>SUM(H2:L2)</f>
        <v>39.9</v>
      </c>
      <c r="J18" s="3">
        <f>I18/H18</f>
        <v>7.98</v>
      </c>
      <c r="K18" s="3">
        <f>O2</f>
        <v>0.247</v>
      </c>
    </row>
    <row r="19" spans="7:11">
      <c r="G19" s="3">
        <v>2</v>
      </c>
      <c r="H19" s="3">
        <f>COUNT(H3:L3)</f>
        <v>3</v>
      </c>
      <c r="I19" s="3">
        <f>SUM(H3:L3)</f>
        <v>19.9</v>
      </c>
      <c r="J19" s="3">
        <f>I19/H19</f>
        <v>6.63333333333333</v>
      </c>
      <c r="K19" s="3">
        <f>O3</f>
        <v>1.16333333333333</v>
      </c>
    </row>
    <row r="20" spans="1:11">
      <c r="A20" s="1" t="s">
        <v>32</v>
      </c>
      <c r="G20" s="3">
        <v>3</v>
      </c>
      <c r="H20" s="3">
        <f>COUNT(H4:L4)</f>
        <v>2</v>
      </c>
      <c r="I20" s="3">
        <f>SUM(H4:L4)</f>
        <v>14.5</v>
      </c>
      <c r="J20" s="3">
        <f>I20/H20</f>
        <v>7.25</v>
      </c>
      <c r="K20" s="3">
        <f>O4</f>
        <v>1.445</v>
      </c>
    </row>
    <row r="21" spans="7:11">
      <c r="G21" s="3">
        <v>4</v>
      </c>
      <c r="H21" s="3">
        <f>COUNT(H5:L5)</f>
        <v>4</v>
      </c>
      <c r="I21" s="3">
        <f>SUM(H5:L5)</f>
        <v>34.5</v>
      </c>
      <c r="J21" s="3">
        <f>I21/H21</f>
        <v>8.625</v>
      </c>
      <c r="K21" s="3">
        <f>O5</f>
        <v>1.83583333333333</v>
      </c>
    </row>
    <row r="23" spans="7:7">
      <c r="G23" t="s">
        <v>33</v>
      </c>
    </row>
    <row r="24" spans="7:13">
      <c r="G24" t="s">
        <v>34</v>
      </c>
      <c r="H24" t="s">
        <v>35</v>
      </c>
      <c r="I24" t="s">
        <v>36</v>
      </c>
      <c r="J24" t="s">
        <v>37</v>
      </c>
      <c r="K24" t="s">
        <v>38</v>
      </c>
      <c r="L24" t="s">
        <v>39</v>
      </c>
      <c r="M24" t="s">
        <v>40</v>
      </c>
    </row>
    <row r="25" spans="7:7">
      <c r="G25" t="s">
        <v>41</v>
      </c>
    </row>
    <row r="26" spans="7:7">
      <c r="G26" t="s">
        <v>42</v>
      </c>
    </row>
    <row r="28" spans="7:7">
      <c r="G2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euphoo</dc:creator>
  <cp:lastModifiedBy>euphoo</cp:lastModifiedBy>
  <dcterms:created xsi:type="dcterms:W3CDTF">2025-12-31T04:12:00Z</dcterms:created>
  <dcterms:modified xsi:type="dcterms:W3CDTF">2026-01-06T03:12:03Z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