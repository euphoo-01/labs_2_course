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925" windowHeight="13140"/>
  </bookViews>
  <sheets>
    <sheet name="Лист1" sheetId="1" r:id="rId1"/>
  </sheets>
  <externalReferences>
    <externalReference r:id="rId2"/>
  </externalReferences>
  <calcPr calcId="144525"/>
</workbook>
</file>

<file path=xl/sharedStrings.xml><?xml version="1.0" encoding="utf-8"?>
<sst xmlns="http://schemas.openxmlformats.org/spreadsheetml/2006/main" count="45" uniqueCount="38">
  <si>
    <t>Исходные данные</t>
  </si>
  <si>
    <t>Сс,%</t>
  </si>
  <si>
    <t>Тз,град С</t>
  </si>
  <si>
    <t>xi</t>
  </si>
  <si>
    <t>yi</t>
  </si>
  <si>
    <t>xiyi</t>
  </si>
  <si>
    <t>xi^2</t>
  </si>
  <si>
    <t>yi^2</t>
  </si>
  <si>
    <t>n=</t>
  </si>
  <si>
    <t>х с чертой</t>
  </si>
  <si>
    <t>r=</t>
  </si>
  <si>
    <t>tрасч=</t>
  </si>
  <si>
    <t>tтабл=</t>
  </si>
  <si>
    <t>у с чертой</t>
  </si>
  <si>
    <t>ху с чертой</t>
  </si>
  <si>
    <t>Система нормальных уравнений:</t>
  </si>
  <si>
    <t>ДвХ</t>
  </si>
  <si>
    <t>ДвУ</t>
  </si>
  <si>
    <t>b0=</t>
  </si>
  <si>
    <t>b1=</t>
  </si>
  <si>
    <t>Для в)</t>
  </si>
  <si>
    <t>Для д)</t>
  </si>
  <si>
    <t>Для ж)</t>
  </si>
  <si>
    <t>X = 1/x</t>
  </si>
  <si>
    <t>Y</t>
  </si>
  <si>
    <t>X</t>
  </si>
  <si>
    <t>Y = ln|y|</t>
  </si>
  <si>
    <t>Y = 1/y</t>
  </si>
  <si>
    <t>Xi=xi</t>
  </si>
  <si>
    <t>Xi^2</t>
  </si>
  <si>
    <t>Xi^3</t>
  </si>
  <si>
    <t>Xi^4</t>
  </si>
  <si>
    <t>Yi=yi</t>
  </si>
  <si>
    <t>XiYi</t>
  </si>
  <si>
    <t>Xi^2Yi</t>
  </si>
  <si>
    <t>a=</t>
  </si>
  <si>
    <t>b=</t>
  </si>
  <si>
    <t>c=</t>
  </si>
</sst>
</file>

<file path=xl/styles.xml><?xml version="1.0" encoding="utf-8"?>
<styleSheet xmlns="http://schemas.openxmlformats.org/spreadsheetml/2006/main">
  <numFmts count="6">
    <numFmt numFmtId="176" formatCode="0.000"/>
    <numFmt numFmtId="177" formatCode="_-* #,##0\ &quot;₽&quot;_-;\-* #,##0\ &quot;₽&quot;_-;_-* \-\ &quot;₽&quot;_-;_-@_-"/>
    <numFmt numFmtId="41" formatCode="_-* #,##0_-;\-* #,##0_-;_-* &quot;-&quot;_-;_-@_-"/>
    <numFmt numFmtId="43" formatCode="_-* #,##0.00_-;\-* #,##0.00_-;_-* &quot;-&quot;??_-;_-@_-"/>
    <numFmt numFmtId="178" formatCode="0.0000"/>
    <numFmt numFmtId="179" formatCode="_-* #,##0.00\ &quot;₽&quot;_-;\-* #,##0.00\ &quot;₽&quot;_-;_-* \-??\ &quot;₽&quot;_-;_-@_-"/>
  </numFmts>
  <fonts count="24">
    <font>
      <sz val="11"/>
      <color theme="1"/>
      <name val="Calibri"/>
      <charset val="134"/>
      <scheme val="minor"/>
    </font>
    <font>
      <b/>
      <sz val="12"/>
      <name val="Times New Roman"/>
      <charset val="204"/>
    </font>
    <font>
      <sz val="12"/>
      <name val="Times New Roman"/>
      <charset val="204"/>
    </font>
    <font>
      <sz val="12"/>
      <color theme="1"/>
      <name val="Times New Roman"/>
      <charset val="204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u/>
      <sz val="11"/>
      <color rgb="FF0000FF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5" fillId="26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20" fillId="25" borderId="20" applyNumberFormat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17" applyNumberFormat="0" applyFill="0" applyAlignment="0" applyProtection="0">
      <alignment vertical="center"/>
    </xf>
    <xf numFmtId="0" fontId="15" fillId="15" borderId="18" applyNumberForma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9" fillId="24" borderId="20" applyNumberFormat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1" borderId="21" applyNumberFormat="0" applyFon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22" fillId="24" borderId="22" applyNumberFormat="0" applyAlignment="0" applyProtection="0">
      <alignment vertical="center"/>
    </xf>
  </cellStyleXfs>
  <cellXfs count="35">
    <xf numFmtId="0" fontId="0" fillId="0" borderId="0" xfId="0"/>
    <xf numFmtId="0" fontId="0" fillId="0" borderId="0" xfId="0" applyFill="1"/>
    <xf numFmtId="0" fontId="0" fillId="0" borderId="1" xfId="0" applyFill="1" applyBorder="1" applyAlignment="1">
      <alignment horizontal="left"/>
    </xf>
    <xf numFmtId="0" fontId="1" fillId="0" borderId="2" xfId="0" applyFont="1" applyFill="1" applyBorder="1" applyAlignment="1"/>
    <xf numFmtId="0" fontId="2" fillId="0" borderId="2" xfId="0" applyFont="1" applyFill="1" applyBorder="1" applyAlignment="1"/>
    <xf numFmtId="0" fontId="3" fillId="0" borderId="2" xfId="0" applyFont="1" applyFill="1" applyBorder="1"/>
    <xf numFmtId="176" fontId="0" fillId="0" borderId="0" xfId="0" applyNumberFormat="1" applyFill="1"/>
    <xf numFmtId="2" fontId="0" fillId="2" borderId="0" xfId="0" applyNumberFormat="1" applyFill="1"/>
    <xf numFmtId="0" fontId="0" fillId="0" borderId="3" xfId="0" applyFill="1" applyBorder="1"/>
    <xf numFmtId="0" fontId="0" fillId="0" borderId="4" xfId="0" applyFill="1" applyBorder="1"/>
    <xf numFmtId="0" fontId="0" fillId="0" borderId="5" xfId="0" applyFill="1" applyBorder="1"/>
    <xf numFmtId="0" fontId="0" fillId="0" borderId="6" xfId="0" applyFill="1" applyBorder="1"/>
    <xf numFmtId="0" fontId="0" fillId="0" borderId="7" xfId="0" applyFill="1" applyBorder="1"/>
    <xf numFmtId="0" fontId="0" fillId="0" borderId="8" xfId="0" applyFill="1" applyBorder="1"/>
    <xf numFmtId="178" fontId="0" fillId="0" borderId="4" xfId="0" applyNumberFormat="1" applyFill="1" applyBorder="1"/>
    <xf numFmtId="178" fontId="0" fillId="0" borderId="7" xfId="0" applyNumberFormat="1" applyFill="1" applyBorder="1"/>
    <xf numFmtId="0" fontId="0" fillId="0" borderId="2" xfId="0" applyFill="1" applyBorder="1"/>
    <xf numFmtId="0" fontId="4" fillId="0" borderId="2" xfId="0" applyFont="1" applyFill="1" applyBorder="1" applyAlignment="1"/>
    <xf numFmtId="176" fontId="0" fillId="0" borderId="2" xfId="0" applyNumberFormat="1" applyFill="1" applyBorder="1"/>
    <xf numFmtId="176" fontId="0" fillId="0" borderId="3" xfId="0" applyNumberFormat="1" applyFill="1" applyBorder="1"/>
    <xf numFmtId="176" fontId="0" fillId="0" borderId="9" xfId="0" applyNumberFormat="1" applyFill="1" applyBorder="1"/>
    <xf numFmtId="176" fontId="0" fillId="0" borderId="4" xfId="0" applyNumberFormat="1" applyFill="1" applyBorder="1"/>
    <xf numFmtId="176" fontId="0" fillId="0" borderId="10" xfId="0" applyNumberFormat="1" applyFill="1" applyBorder="1"/>
    <xf numFmtId="0" fontId="0" fillId="0" borderId="11" xfId="0" applyFill="1" applyBorder="1"/>
    <xf numFmtId="176" fontId="0" fillId="0" borderId="6" xfId="0" applyNumberFormat="1" applyFill="1" applyBorder="1"/>
    <xf numFmtId="0" fontId="0" fillId="0" borderId="12" xfId="0" applyFill="1" applyBorder="1"/>
    <xf numFmtId="0" fontId="0" fillId="0" borderId="9" xfId="0" applyFill="1" applyBorder="1"/>
    <xf numFmtId="176" fontId="0" fillId="0" borderId="0" xfId="0" applyNumberFormat="1" applyFill="1" applyAlignment="1">
      <alignment horizontal="right"/>
    </xf>
    <xf numFmtId="0" fontId="0" fillId="0" borderId="10" xfId="0" applyFill="1" applyBorder="1"/>
    <xf numFmtId="0" fontId="0" fillId="0" borderId="0" xfId="0" applyFill="1" applyAlignment="1">
      <alignment horizontal="right"/>
    </xf>
    <xf numFmtId="2" fontId="0" fillId="0" borderId="0" xfId="0" applyNumberFormat="1" applyFill="1"/>
    <xf numFmtId="0" fontId="0" fillId="0" borderId="13" xfId="0" applyFill="1" applyBorder="1"/>
    <xf numFmtId="176" fontId="0" fillId="0" borderId="8" xfId="0" applyNumberFormat="1" applyFill="1" applyBorder="1"/>
    <xf numFmtId="0" fontId="2" fillId="0" borderId="14" xfId="0" applyFont="1" applyFill="1" applyBorder="1" applyAlignment="1"/>
    <xf numFmtId="0" fontId="3" fillId="0" borderId="0" xfId="0" applyFont="1" applyFill="1"/>
  </cellXfs>
  <cellStyles count="49">
    <cellStyle name="Обычный" xfId="0" builtinId="0"/>
    <cellStyle name="40% — Акцент6" xfId="1" builtinId="51"/>
    <cellStyle name="Акцент4" xfId="2" builtinId="41"/>
    <cellStyle name="20% — Акцент6" xfId="3" builtinId="50"/>
    <cellStyle name="Гиперссылка" xfId="4" builtinId="8"/>
    <cellStyle name="40% — Акцент5" xfId="5" builtinId="47"/>
    <cellStyle name="Акцент3" xfId="6" builtinId="37"/>
    <cellStyle name="20% — Акцент5" xfId="7" builtinId="46"/>
    <cellStyle name="Акцент2" xfId="8" builtinId="33"/>
    <cellStyle name="20% — Акцент4" xfId="9" builtinId="42"/>
    <cellStyle name="Заголовок 2" xfId="10" builtinId="17"/>
    <cellStyle name="60% — Акцент3" xfId="11" builtinId="40"/>
    <cellStyle name="Акцент1" xfId="12" builtinId="29"/>
    <cellStyle name="20% — Акцент3" xfId="13" builtinId="38"/>
    <cellStyle name="Заголовок 1" xfId="14" builtinId="16"/>
    <cellStyle name="Денежный" xfId="15" builtinId="4"/>
    <cellStyle name="60% — Акцент2" xfId="16" builtinId="36"/>
    <cellStyle name="Ввод" xfId="17" builtinId="20"/>
    <cellStyle name="Акцент6" xfId="18" builtinId="49"/>
    <cellStyle name="Процент" xfId="19" builtinId="5"/>
    <cellStyle name="40% — Акцент2" xfId="20" builtinId="35"/>
    <cellStyle name="20% — Акцент2" xfId="21" builtinId="34"/>
    <cellStyle name="Запятая" xfId="22" builtinId="3"/>
    <cellStyle name="Акцент5" xfId="23" builtinId="45"/>
    <cellStyle name="Нейтральный" xfId="24" builtinId="28"/>
    <cellStyle name="40% — Акцент1" xfId="25" builtinId="31"/>
    <cellStyle name="20% — Акцент1" xfId="26" builtinId="30"/>
    <cellStyle name="Открывавшаяся гиперссылка" xfId="27" builtinId="9"/>
    <cellStyle name="Связанная ячейка" xfId="28" builtinId="24"/>
    <cellStyle name="Проверить ячейку" xfId="29" builtinId="23"/>
    <cellStyle name="60% — Акцент5" xfId="30" builtinId="48"/>
    <cellStyle name="Заголовок 4" xfId="31" builtinId="19"/>
    <cellStyle name="Заголовок 3" xfId="32" builtinId="18"/>
    <cellStyle name="60% — Акцент4" xfId="33" builtinId="44"/>
    <cellStyle name="Плохой" xfId="34" builtinId="27"/>
    <cellStyle name="Вычисление" xfId="35" builtinId="22"/>
    <cellStyle name="60% — Акцент6" xfId="36" builtinId="52"/>
    <cellStyle name="Денежный [0]" xfId="37" builtinId="7"/>
    <cellStyle name="Пояснительный текст" xfId="38" builtinId="53"/>
    <cellStyle name="40% — Акцент3" xfId="39" builtinId="39"/>
    <cellStyle name="Заголовок" xfId="40" builtinId="15"/>
    <cellStyle name="Запятая [0]" xfId="41" builtinId="6"/>
    <cellStyle name="Итого" xfId="42" builtinId="25"/>
    <cellStyle name="Предупреждающий текст" xfId="43" builtinId="11"/>
    <cellStyle name="Примечание" xfId="44" builtinId="10"/>
    <cellStyle name="60% — Акцент1" xfId="45" builtinId="32"/>
    <cellStyle name="Хороший" xfId="46" builtinId="26"/>
    <cellStyle name="40% — Акцент4" xfId="47" builtinId="43"/>
    <cellStyle name="Вывод" xfId="48" builtinId="2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ru-RU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в)</a:t>
            </a:r>
            <a:r>
              <a:rPr lang="ru-RU" baseline="0"/>
              <a:t> Гиперболическая зависимость</a:t>
            </a:r>
            <a:endParaRPr lang="ru-RU"/>
          </a:p>
        </c:rich>
      </c:tx>
      <c:layout>
        <c:manualLayout>
          <c:xMode val="edge"/>
          <c:yMode val="edge"/>
          <c:x val="0.0188558417532375"/>
          <c:y val="0.062648065280336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tx1"/>
                </a:solidFill>
                <a:prstDash val="lg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0252082239720035"/>
                  <c:y val="-0.24986475648877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ru-RU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Лист1!$A$28:$A$36</c:f>
              <c:numCache>
                <c:formatCode>General</c:formatCode>
                <c:ptCount val="9"/>
                <c:pt idx="0">
                  <c:v>1</c:v>
                </c:pt>
                <c:pt idx="1">
                  <c:v>0.769230769230769</c:v>
                </c:pt>
                <c:pt idx="2">
                  <c:v>0.454545454545455</c:v>
                </c:pt>
                <c:pt idx="3">
                  <c:v>0.384615384615385</c:v>
                </c:pt>
                <c:pt idx="4">
                  <c:v>0.303030303030303</c:v>
                </c:pt>
                <c:pt idx="5">
                  <c:v>0.277777777777778</c:v>
                </c:pt>
                <c:pt idx="6">
                  <c:v>0.188679245283019</c:v>
                </c:pt>
                <c:pt idx="7">
                  <c:v>0.166666666666667</c:v>
                </c:pt>
              </c:numCache>
            </c:numRef>
          </c:xVal>
          <c:yVal>
            <c:numRef>
              <c:f>Лист1!$B$28:$B$36</c:f>
              <c:numCache>
                <c:formatCode>General</c:formatCode>
                <c:ptCount val="9"/>
                <c:pt idx="0">
                  <c:v>-1.3</c:v>
                </c:pt>
                <c:pt idx="1">
                  <c:v>-2.2</c:v>
                </c:pt>
                <c:pt idx="2">
                  <c:v>-2.8</c:v>
                </c:pt>
                <c:pt idx="3">
                  <c:v>-3.2</c:v>
                </c:pt>
                <c:pt idx="4">
                  <c:v>-3.8</c:v>
                </c:pt>
                <c:pt idx="5">
                  <c:v>-4.4</c:v>
                </c:pt>
                <c:pt idx="6">
                  <c:v>-5.6</c:v>
                </c:pt>
                <c:pt idx="7">
                  <c:v>-5.9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9640399"/>
        <c:axId val="899639151"/>
      </c:scatterChart>
      <c:valAx>
        <c:axId val="899640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9639151"/>
        <c:crosses val="autoZero"/>
        <c:crossBetween val="midCat"/>
      </c:valAx>
      <c:valAx>
        <c:axId val="899639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96403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ru-RU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д) Экспоненциальная</a:t>
            </a:r>
            <a:r>
              <a:rPr lang="ru-RU" baseline="0"/>
              <a:t> зависимость</a:t>
            </a:r>
            <a:endParaRPr lang="ru-RU"/>
          </a:p>
        </c:rich>
      </c:tx>
      <c:layout>
        <c:manualLayout>
          <c:xMode val="edge"/>
          <c:yMode val="edge"/>
          <c:x val="0.000555508402555503"/>
          <c:y val="0.09160402249852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tx1"/>
                </a:solidFill>
                <a:prstDash val="lgDash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0.0872844213930519"/>
                  <c:y val="-0.16529945859858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ru-RU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trendline>
            <c:spPr>
              <a:ln w="19050" cap="rnd">
                <a:solidFill>
                  <a:srgbClr val="FF0000"/>
                </a:solidFill>
                <a:prstDash val="sysDash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46680466722155"/>
                  <c:y val="-0.19941128735160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ru-RU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ru-RU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Лист1!$D$28:$D$35</c:f>
              <c:numCache>
                <c:formatCode>General</c:formatCode>
                <c:ptCount val="8"/>
                <c:pt idx="0">
                  <c:v>1</c:v>
                </c:pt>
                <c:pt idx="1">
                  <c:v>1.3</c:v>
                </c:pt>
                <c:pt idx="2">
                  <c:v>2.2</c:v>
                </c:pt>
                <c:pt idx="3">
                  <c:v>2.6</c:v>
                </c:pt>
                <c:pt idx="4">
                  <c:v>3.3</c:v>
                </c:pt>
                <c:pt idx="5">
                  <c:v>3.6</c:v>
                </c:pt>
                <c:pt idx="6">
                  <c:v>5.3</c:v>
                </c:pt>
                <c:pt idx="7">
                  <c:v>6</c:v>
                </c:pt>
              </c:numCache>
            </c:numRef>
          </c:xVal>
          <c:yVal>
            <c:numRef>
              <c:f>Лист1!$B$6:$B$13</c:f>
              <c:numCache>
                <c:formatCode>General</c:formatCode>
                <c:ptCount val="8"/>
                <c:pt idx="0">
                  <c:v>-1.3</c:v>
                </c:pt>
                <c:pt idx="1">
                  <c:v>-2.2</c:v>
                </c:pt>
                <c:pt idx="2">
                  <c:v>-2.8</c:v>
                </c:pt>
                <c:pt idx="3">
                  <c:v>-3.2</c:v>
                </c:pt>
                <c:pt idx="4">
                  <c:v>-3.8</c:v>
                </c:pt>
                <c:pt idx="5">
                  <c:v>-4.4</c:v>
                </c:pt>
                <c:pt idx="6">
                  <c:v>-5.6</c:v>
                </c:pt>
                <c:pt idx="7">
                  <c:v>-5.9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9645391"/>
        <c:axId val="899641647"/>
      </c:scatterChart>
      <c:valAx>
        <c:axId val="899645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9641647"/>
        <c:crosses val="autoZero"/>
        <c:crossBetween val="midCat"/>
      </c:valAx>
      <c:valAx>
        <c:axId val="89964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9645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ru-RU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ж) Гиперболическая зависимость</a:t>
            </a:r>
            <a:endParaRPr lang="ru-RU"/>
          </a:p>
        </c:rich>
      </c:tx>
      <c:layout>
        <c:manualLayout>
          <c:xMode val="edge"/>
          <c:yMode val="edge"/>
          <c:x val="0.0261100066269052"/>
          <c:y val="0.051282051282051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tx1"/>
                </a:solidFill>
                <a:prstDash val="lg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0249247594050744"/>
                  <c:y val="-0.314804607757364"/>
                </c:manualLayout>
              </c:layout>
              <c:numFmt formatCode="#,##0.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ru-RU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Лист1!$G$28:$G$35</c:f>
              <c:numCache>
                <c:formatCode>General</c:formatCode>
                <c:ptCount val="8"/>
                <c:pt idx="0">
                  <c:v>1</c:v>
                </c:pt>
                <c:pt idx="1">
                  <c:v>1.3</c:v>
                </c:pt>
                <c:pt idx="2">
                  <c:v>2.2</c:v>
                </c:pt>
                <c:pt idx="3">
                  <c:v>2.6</c:v>
                </c:pt>
                <c:pt idx="4">
                  <c:v>3.3</c:v>
                </c:pt>
                <c:pt idx="5">
                  <c:v>3.6</c:v>
                </c:pt>
                <c:pt idx="6">
                  <c:v>5.3</c:v>
                </c:pt>
                <c:pt idx="7">
                  <c:v>6</c:v>
                </c:pt>
              </c:numCache>
            </c:numRef>
          </c:xVal>
          <c:yVal>
            <c:numRef>
              <c:f>Лист1!$H$28:$H$35</c:f>
              <c:numCache>
                <c:formatCode>General</c:formatCode>
                <c:ptCount val="8"/>
                <c:pt idx="0">
                  <c:v>-0.769230769230769</c:v>
                </c:pt>
                <c:pt idx="1">
                  <c:v>-0.454545454545455</c:v>
                </c:pt>
                <c:pt idx="2">
                  <c:v>-0.357142857142857</c:v>
                </c:pt>
                <c:pt idx="3">
                  <c:v>-0.3125</c:v>
                </c:pt>
                <c:pt idx="4">
                  <c:v>-0.263157894736842</c:v>
                </c:pt>
                <c:pt idx="5">
                  <c:v>-0.227272727272727</c:v>
                </c:pt>
                <c:pt idx="6">
                  <c:v>-0.178571428571429</c:v>
                </c:pt>
                <c:pt idx="7">
                  <c:v>-0.169491525423729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9642063"/>
        <c:axId val="899644559"/>
      </c:scatterChart>
      <c:valAx>
        <c:axId val="899642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9644559"/>
        <c:crosses val="autoZero"/>
        <c:crossBetween val="midCat"/>
      </c:valAx>
      <c:valAx>
        <c:axId val="89964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9642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ru-RU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Корреляционное поле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28575" cap="flat" cmpd="sng" algn="ctr">
                <a:solidFill>
                  <a:srgbClr val="FF0000"/>
                </a:solidFill>
                <a:prstDash val="dash"/>
                <a:miter lim="800000"/>
              </a:ln>
              <a:effectLst/>
              <a:sp3d>
                <a:extrusionClr>
                  <a:srgbClr val="FFFFFF"/>
                </a:extrusionClr>
                <a:contourClr>
                  <a:srgbClr val="FFFFFF"/>
                </a:contourClr>
              </a:sp3d>
            </c:spPr>
            <c:trendlineType val="linear"/>
            <c:dispRSqr val="0"/>
            <c:dispEq val="0"/>
          </c:trendline>
          <c:xVal>
            <c:numRef>
              <c:f>[1]Лист1!$A$6:$A$13</c:f>
              <c:numCache>
                <c:formatCode>General</c:formatCode>
                <c:ptCount val="8"/>
                <c:pt idx="0">
                  <c:v>1</c:v>
                </c:pt>
                <c:pt idx="1">
                  <c:v>1.3</c:v>
                </c:pt>
                <c:pt idx="2">
                  <c:v>2.2</c:v>
                </c:pt>
                <c:pt idx="3">
                  <c:v>2.6</c:v>
                </c:pt>
                <c:pt idx="4">
                  <c:v>3.3</c:v>
                </c:pt>
                <c:pt idx="5">
                  <c:v>3.6</c:v>
                </c:pt>
                <c:pt idx="6">
                  <c:v>5.3</c:v>
                </c:pt>
                <c:pt idx="7">
                  <c:v>6</c:v>
                </c:pt>
              </c:numCache>
            </c:numRef>
          </c:xVal>
          <c:yVal>
            <c:numRef>
              <c:f>[1]Лист1!$B$6:$B$13</c:f>
              <c:numCache>
                <c:formatCode>General</c:formatCode>
                <c:ptCount val="8"/>
                <c:pt idx="0">
                  <c:v>-1.3</c:v>
                </c:pt>
                <c:pt idx="1">
                  <c:v>-2.2</c:v>
                </c:pt>
                <c:pt idx="2">
                  <c:v>-2.8</c:v>
                </c:pt>
                <c:pt idx="3">
                  <c:v>-3.2</c:v>
                </c:pt>
                <c:pt idx="4">
                  <c:v>-3.8</c:v>
                </c:pt>
                <c:pt idx="5">
                  <c:v>-4.4</c:v>
                </c:pt>
                <c:pt idx="6">
                  <c:v>-5.6</c:v>
                </c:pt>
                <c:pt idx="7">
                  <c:v>-5.9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0854296"/>
        <c:axId val="398465272"/>
      </c:scatterChart>
      <c:valAx>
        <c:axId val="910854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8465272"/>
        <c:crosses val="autoZero"/>
        <c:crossBetween val="midCat"/>
      </c:valAx>
      <c:valAx>
        <c:axId val="398465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0854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ru-RU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Квадратичная зависимость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ru-RU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name/>
            <c:trendlineType val="poly"/>
            <c:order val="2"/>
            <c:dispRSqr val="1"/>
            <c:dispEq val="1"/>
            <c:trendlineLbl>
              <c:layout>
                <c:manualLayout>
                  <c:x val="0.109216909216909"/>
                  <c:y val="-0.35107613978245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ru-RU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Лист1!$G$53:$G$60</c:f>
              <c:numCache>
                <c:formatCode>General</c:formatCode>
                <c:ptCount val="8"/>
                <c:pt idx="0">
                  <c:v>1</c:v>
                </c:pt>
                <c:pt idx="1">
                  <c:v>1.3</c:v>
                </c:pt>
                <c:pt idx="2">
                  <c:v>2.2</c:v>
                </c:pt>
                <c:pt idx="3">
                  <c:v>2.6</c:v>
                </c:pt>
                <c:pt idx="4">
                  <c:v>3.3</c:v>
                </c:pt>
                <c:pt idx="5">
                  <c:v>3.6</c:v>
                </c:pt>
                <c:pt idx="6">
                  <c:v>5.3</c:v>
                </c:pt>
                <c:pt idx="7">
                  <c:v>6</c:v>
                </c:pt>
              </c:numCache>
            </c:numRef>
          </c:xVal>
          <c:yVal>
            <c:numRef>
              <c:f>Лист1!$H$53:$H$60</c:f>
              <c:numCache>
                <c:formatCode>General</c:formatCode>
                <c:ptCount val="8"/>
                <c:pt idx="0">
                  <c:v>-1.50868986113109</c:v>
                </c:pt>
                <c:pt idx="1">
                  <c:v>-2.07031477597393</c:v>
                </c:pt>
                <c:pt idx="2">
                  <c:v>-4.00310526428111</c:v>
                </c:pt>
                <c:pt idx="3">
                  <c:v>-4.98149009868144</c:v>
                </c:pt>
                <c:pt idx="4">
                  <c:v>-6.87041830213162</c:v>
                </c:pt>
                <c:pt idx="5">
                  <c:v>-7.74882444513609</c:v>
                </c:pt>
                <c:pt idx="6">
                  <c:v>-13.5069347451683</c:v>
                </c:pt>
                <c:pt idx="7">
                  <c:v>-16.2635680518438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6016968"/>
        <c:axId val="836967170"/>
      </c:scatterChart>
      <c:valAx>
        <c:axId val="936016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6967170"/>
        <c:crosses val="autoZero"/>
        <c:crossBetween val="midCat"/>
      </c:valAx>
      <c:valAx>
        <c:axId val="83696717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6016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591185</xdr:colOff>
      <xdr:row>2</xdr:row>
      <xdr:rowOff>83820</xdr:rowOff>
    </xdr:from>
    <xdr:to>
      <xdr:col>18</xdr:col>
      <xdr:colOff>598804</xdr:colOff>
      <xdr:row>14</xdr:row>
      <xdr:rowOff>180256</xdr:rowOff>
    </xdr:to>
    <xdr:graphicFrame>
      <xdr:nvGraphicFramePr>
        <xdr:cNvPr id="4" name="Диаграмма 3"/>
        <xdr:cNvGraphicFramePr/>
      </xdr:nvGraphicFramePr>
      <xdr:xfrm>
        <a:off x="9257030" y="469900"/>
        <a:ext cx="4447540" cy="24377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614680</xdr:colOff>
      <xdr:row>34</xdr:row>
      <xdr:rowOff>67310</xdr:rowOff>
    </xdr:from>
    <xdr:to>
      <xdr:col>18</xdr:col>
      <xdr:colOff>285440</xdr:colOff>
      <xdr:row>49</xdr:row>
      <xdr:rowOff>72182</xdr:rowOff>
    </xdr:to>
    <xdr:graphicFrame>
      <xdr:nvGraphicFramePr>
        <xdr:cNvPr id="6" name="Диаграмма 5"/>
        <xdr:cNvGraphicFramePr/>
      </xdr:nvGraphicFramePr>
      <xdr:xfrm>
        <a:off x="8646160" y="6648450"/>
        <a:ext cx="4745355" cy="28619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495031</xdr:colOff>
      <xdr:row>17</xdr:row>
      <xdr:rowOff>149298</xdr:rowOff>
    </xdr:from>
    <xdr:to>
      <xdr:col>19</xdr:col>
      <xdr:colOff>195278</xdr:colOff>
      <xdr:row>32</xdr:row>
      <xdr:rowOff>116688</xdr:rowOff>
    </xdr:to>
    <xdr:graphicFrame>
      <xdr:nvGraphicFramePr>
        <xdr:cNvPr id="7" name="Диаграмма 6"/>
        <xdr:cNvGraphicFramePr/>
      </xdr:nvGraphicFramePr>
      <xdr:xfrm>
        <a:off x="9160510" y="3453765"/>
        <a:ext cx="4775200" cy="28625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161925</xdr:colOff>
      <xdr:row>61</xdr:row>
      <xdr:rowOff>65405</xdr:rowOff>
    </xdr:from>
    <xdr:to>
      <xdr:col>5</xdr:col>
      <xdr:colOff>471805</xdr:colOff>
      <xdr:row>75</xdr:row>
      <xdr:rowOff>182880</xdr:rowOff>
    </xdr:to>
    <xdr:graphicFrame>
      <xdr:nvGraphicFramePr>
        <xdr:cNvPr id="8" name="Диаграмма 7"/>
        <xdr:cNvGraphicFramePr/>
      </xdr:nvGraphicFramePr>
      <xdr:xfrm>
        <a:off x="161925" y="11828145"/>
        <a:ext cx="4554855" cy="27844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612775</xdr:colOff>
      <xdr:row>51</xdr:row>
      <xdr:rowOff>89535</xdr:rowOff>
    </xdr:from>
    <xdr:to>
      <xdr:col>18</xdr:col>
      <xdr:colOff>100330</xdr:colOff>
      <xdr:row>65</xdr:row>
      <xdr:rowOff>144145</xdr:rowOff>
    </xdr:to>
    <xdr:graphicFrame>
      <xdr:nvGraphicFramePr>
        <xdr:cNvPr id="10" name="Диаграмма 9"/>
        <xdr:cNvGraphicFramePr/>
      </xdr:nvGraphicFramePr>
      <xdr:xfrm>
        <a:off x="8644255" y="9909175"/>
        <a:ext cx="4562475" cy="27597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Лист1"/>
    </sheetNames>
    <sheetDataSet>
      <sheetData sheetId="0">
        <row r="6">
          <cell r="A6">
            <v>1</v>
          </cell>
          <cell r="B6">
            <v>-1.3</v>
          </cell>
        </row>
        <row r="7">
          <cell r="A7">
            <v>1.3</v>
          </cell>
          <cell r="B7">
            <v>-2.2</v>
          </cell>
        </row>
        <row r="8">
          <cell r="A8">
            <v>2.2</v>
          </cell>
          <cell r="B8">
            <v>-2.8</v>
          </cell>
        </row>
        <row r="9">
          <cell r="A9">
            <v>2.6</v>
          </cell>
          <cell r="B9">
            <v>-3.2</v>
          </cell>
        </row>
        <row r="10">
          <cell r="A10">
            <v>3.3</v>
          </cell>
          <cell r="B10">
            <v>-3.8</v>
          </cell>
        </row>
        <row r="11">
          <cell r="A11">
            <v>3.6</v>
          </cell>
          <cell r="B11">
            <v>-4.4</v>
          </cell>
        </row>
        <row r="12">
          <cell r="A12">
            <v>5.3</v>
          </cell>
          <cell r="B12">
            <v>-5.6</v>
          </cell>
        </row>
        <row r="13">
          <cell r="A13">
            <v>6</v>
          </cell>
          <cell r="B13">
            <v>-5.9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0"/>
  <sheetViews>
    <sheetView tabSelected="1" zoomScale="130" zoomScaleNormal="130" topLeftCell="A25" workbookViewId="0">
      <selection activeCell="U9" sqref="U9"/>
    </sheetView>
  </sheetViews>
  <sheetFormatPr defaultColWidth="9" defaultRowHeight="15"/>
  <cols>
    <col min="1" max="1" width="13.5585585585586" style="1" customWidth="1"/>
    <col min="2" max="2" width="12.6666666666667" style="1" customWidth="1"/>
    <col min="3" max="3" width="11.4414414414414" style="1" customWidth="1"/>
    <col min="4" max="4" width="13.5585585585586" style="1" customWidth="1"/>
    <col min="5" max="5" width="9" style="1" customWidth="1"/>
    <col min="6" max="6" width="9" style="1"/>
    <col min="7" max="7" width="12.7837837837838" style="1"/>
    <col min="8" max="8" width="13.9369369369369" style="1"/>
    <col min="9" max="16384" width="9" style="1"/>
  </cols>
  <sheetData>
    <row r="1" spans="1:3">
      <c r="A1" s="2" t="s">
        <v>0</v>
      </c>
      <c r="B1" s="2"/>
      <c r="C1" s="2"/>
    </row>
    <row r="2" ht="15.4" spans="1:10">
      <c r="A2" s="3" t="s">
        <v>1</v>
      </c>
      <c r="B2" s="4">
        <v>1</v>
      </c>
      <c r="C2" s="4">
        <v>1.3</v>
      </c>
      <c r="D2" s="4">
        <v>2.2</v>
      </c>
      <c r="E2" s="4">
        <v>2.6</v>
      </c>
      <c r="F2" s="4">
        <v>3.3</v>
      </c>
      <c r="G2" s="4">
        <v>3.6</v>
      </c>
      <c r="H2" s="4">
        <v>5.3</v>
      </c>
      <c r="I2" s="33">
        <v>6</v>
      </c>
      <c r="J2" s="34"/>
    </row>
    <row r="3" ht="15.4" spans="1:10">
      <c r="A3" s="3" t="s">
        <v>2</v>
      </c>
      <c r="B3" s="4">
        <v>-1.3</v>
      </c>
      <c r="C3" s="4">
        <v>-2.2</v>
      </c>
      <c r="D3" s="4">
        <v>-2.8</v>
      </c>
      <c r="E3" s="4">
        <v>-3.2</v>
      </c>
      <c r="F3" s="4">
        <v>-3.8</v>
      </c>
      <c r="G3" s="4">
        <v>-4.4</v>
      </c>
      <c r="H3" s="4">
        <v>-5.6</v>
      </c>
      <c r="I3" s="33">
        <v>-5.9</v>
      </c>
      <c r="J3" s="34"/>
    </row>
    <row r="5" ht="15.4" spans="1:5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</row>
    <row r="6" ht="15.4" spans="1:5">
      <c r="A6" s="5">
        <f>B2</f>
        <v>1</v>
      </c>
      <c r="B6" s="5">
        <f>B3</f>
        <v>-1.3</v>
      </c>
      <c r="C6" s="5">
        <f>A6*B6</f>
        <v>-1.3</v>
      </c>
      <c r="D6" s="5">
        <f>POWER(A6,2)</f>
        <v>1</v>
      </c>
      <c r="E6" s="5">
        <f>POWER(B6,2)</f>
        <v>1.69</v>
      </c>
    </row>
    <row r="7" ht="15.4" spans="1:5">
      <c r="A7" s="5">
        <f>C2</f>
        <v>1.3</v>
      </c>
      <c r="B7" s="5">
        <f>C3</f>
        <v>-2.2</v>
      </c>
      <c r="C7" s="5">
        <f t="shared" ref="C7:C13" si="0">A7*B7</f>
        <v>-2.86</v>
      </c>
      <c r="D7" s="5">
        <f t="shared" ref="D7:D13" si="1">POWER(A7,2)</f>
        <v>1.69</v>
      </c>
      <c r="E7" s="5">
        <f t="shared" ref="E7:E13" si="2">POWER(B7,2)</f>
        <v>4.84</v>
      </c>
    </row>
    <row r="8" ht="15.4" spans="1:5">
      <c r="A8" s="5">
        <f>D2</f>
        <v>2.2</v>
      </c>
      <c r="B8" s="5">
        <f>D3</f>
        <v>-2.8</v>
      </c>
      <c r="C8" s="5">
        <f t="shared" si="0"/>
        <v>-6.16</v>
      </c>
      <c r="D8" s="5">
        <f t="shared" si="1"/>
        <v>4.84</v>
      </c>
      <c r="E8" s="5">
        <f t="shared" si="2"/>
        <v>7.84</v>
      </c>
    </row>
    <row r="9" ht="15.4" spans="1:5">
      <c r="A9" s="5">
        <f>E2</f>
        <v>2.6</v>
      </c>
      <c r="B9" s="5">
        <f>E3</f>
        <v>-3.2</v>
      </c>
      <c r="C9" s="5">
        <f t="shared" si="0"/>
        <v>-8.32</v>
      </c>
      <c r="D9" s="5">
        <f t="shared" si="1"/>
        <v>6.76</v>
      </c>
      <c r="E9" s="5">
        <f t="shared" si="2"/>
        <v>10.24</v>
      </c>
    </row>
    <row r="10" ht="15.4" spans="1:5">
      <c r="A10" s="5">
        <f>F2</f>
        <v>3.3</v>
      </c>
      <c r="B10" s="5">
        <f>F3</f>
        <v>-3.8</v>
      </c>
      <c r="C10" s="5">
        <f t="shared" si="0"/>
        <v>-12.54</v>
      </c>
      <c r="D10" s="5">
        <f t="shared" si="1"/>
        <v>10.89</v>
      </c>
      <c r="E10" s="5">
        <f t="shared" si="2"/>
        <v>14.44</v>
      </c>
    </row>
    <row r="11" ht="15.4" spans="1:5">
      <c r="A11" s="5">
        <f>G2</f>
        <v>3.6</v>
      </c>
      <c r="B11" s="5">
        <f>G3</f>
        <v>-4.4</v>
      </c>
      <c r="C11" s="5">
        <f t="shared" si="0"/>
        <v>-15.84</v>
      </c>
      <c r="D11" s="5">
        <f t="shared" si="1"/>
        <v>12.96</v>
      </c>
      <c r="E11" s="5">
        <f t="shared" si="2"/>
        <v>19.36</v>
      </c>
    </row>
    <row r="12" ht="15.4" spans="1:5">
      <c r="A12" s="5">
        <f>H2</f>
        <v>5.3</v>
      </c>
      <c r="B12" s="5">
        <f>H3</f>
        <v>-5.6</v>
      </c>
      <c r="C12" s="5">
        <f t="shared" si="0"/>
        <v>-29.68</v>
      </c>
      <c r="D12" s="5">
        <f t="shared" si="1"/>
        <v>28.09</v>
      </c>
      <c r="E12" s="5">
        <f t="shared" si="2"/>
        <v>31.36</v>
      </c>
    </row>
    <row r="13" ht="15.4" spans="1:5">
      <c r="A13" s="5">
        <f>I2</f>
        <v>6</v>
      </c>
      <c r="B13" s="5">
        <f>I3</f>
        <v>-5.9</v>
      </c>
      <c r="C13" s="5">
        <f t="shared" si="0"/>
        <v>-35.4</v>
      </c>
      <c r="D13" s="5">
        <f t="shared" si="1"/>
        <v>36</v>
      </c>
      <c r="E13" s="5">
        <f t="shared" si="2"/>
        <v>34.81</v>
      </c>
    </row>
    <row r="14" ht="15.4" spans="1:5">
      <c r="A14" s="5"/>
      <c r="B14" s="5"/>
      <c r="C14" s="5"/>
      <c r="D14" s="5"/>
      <c r="E14" s="5"/>
    </row>
    <row r="15" ht="15.4" spans="1:5">
      <c r="A15" s="5">
        <f>SUM(A6:A13)</f>
        <v>25.3</v>
      </c>
      <c r="B15" s="5">
        <f>SUM(B6:B13)</f>
        <v>-29.2</v>
      </c>
      <c r="C15" s="5">
        <f>SUM(C6:C13)</f>
        <v>-112.1</v>
      </c>
      <c r="D15" s="5">
        <f>SUM(D6:D13)</f>
        <v>102.23</v>
      </c>
      <c r="E15" s="5">
        <f>SUM(E6:E13)</f>
        <v>124.58</v>
      </c>
    </row>
    <row r="16" spans="1:10">
      <c r="A16" s="1" t="s">
        <v>8</v>
      </c>
      <c r="B16" s="1">
        <f>COUNT(A6:A13)</f>
        <v>8</v>
      </c>
      <c r="I16" s="1" t="s">
        <v>9</v>
      </c>
      <c r="J16" s="1">
        <f>A15/B16</f>
        <v>3.1625</v>
      </c>
    </row>
    <row r="17" spans="1:10">
      <c r="A17" s="1" t="s">
        <v>10</v>
      </c>
      <c r="B17" s="6">
        <f>CORREL(A6:A13,B6:B13)</f>
        <v>-0.987827177013049</v>
      </c>
      <c r="C17" s="1" t="s">
        <v>11</v>
      </c>
      <c r="D17" s="7">
        <f>ABS(B17)*SQRT((B16-2)/(1-B17^2))</f>
        <v>15.5550578343834</v>
      </c>
      <c r="E17" s="1" t="s">
        <v>12</v>
      </c>
      <c r="F17" s="7">
        <f>TINV(0.05,B16-2)</f>
        <v>2.44691185114497</v>
      </c>
      <c r="I17" s="1" t="s">
        <v>13</v>
      </c>
      <c r="J17" s="1">
        <f>B15/B16</f>
        <v>-3.65</v>
      </c>
    </row>
    <row r="18" spans="9:10">
      <c r="I18" s="1" t="s">
        <v>14</v>
      </c>
      <c r="J18" s="1">
        <f>C15/B16</f>
        <v>-14.0125</v>
      </c>
    </row>
    <row r="19" ht="15.75" spans="1:10">
      <c r="A19" s="1" t="s">
        <v>15</v>
      </c>
      <c r="I19" s="1" t="s">
        <v>16</v>
      </c>
      <c r="J19" s="1">
        <f>D15/B16-J16^2</f>
        <v>2.77734375</v>
      </c>
    </row>
    <row r="20" spans="1:10">
      <c r="A20" s="8">
        <f>B16</f>
        <v>8</v>
      </c>
      <c r="B20" s="9">
        <f>A15</f>
        <v>25.3</v>
      </c>
      <c r="D20" s="10">
        <f>B15</f>
        <v>-29.2</v>
      </c>
      <c r="F20" s="1">
        <v>74.5625</v>
      </c>
      <c r="G20" s="1">
        <v>0</v>
      </c>
      <c r="I20" s="1" t="s">
        <v>17</v>
      </c>
      <c r="J20" s="1">
        <f>E15/B16-J17^2</f>
        <v>2.25</v>
      </c>
    </row>
    <row r="21" ht="15.75" spans="1:10">
      <c r="A21" s="11">
        <f>A15</f>
        <v>25.3</v>
      </c>
      <c r="B21" s="12">
        <f>D15</f>
        <v>102.23</v>
      </c>
      <c r="D21" s="13">
        <f>C15</f>
        <v>-112.1</v>
      </c>
      <c r="F21" s="1">
        <f>F20+0.095*50</f>
        <v>79.3125</v>
      </c>
      <c r="G21" s="1">
        <v>50</v>
      </c>
      <c r="I21" s="1" t="s">
        <v>10</v>
      </c>
      <c r="J21" s="1">
        <f>(J18-J16*J17)/SQRT((J19*J20))</f>
        <v>-0.987827177013049</v>
      </c>
    </row>
    <row r="22" ht="15.75"/>
    <row r="23" spans="1:4">
      <c r="A23" s="1">
        <f t="array" ref="A23:B24">MINVERSE(A20:B21)</f>
        <v>0.575133614627285</v>
      </c>
      <c r="B23" s="1">
        <v>-0.142334739803094</v>
      </c>
      <c r="C23" s="8" t="s">
        <v>18</v>
      </c>
      <c r="D23" s="14">
        <f t="array" ref="D23:D24">MMULT(A23:B24,D20:D21)</f>
        <v>-0.838177215189871</v>
      </c>
    </row>
    <row r="24" ht="15.75" spans="1:4">
      <c r="A24" s="1">
        <v>-0.142334739803094</v>
      </c>
      <c r="B24" s="1">
        <v>0.0450070323488045</v>
      </c>
      <c r="C24" s="11" t="s">
        <v>19</v>
      </c>
      <c r="D24" s="15">
        <v>-0.889113924050632</v>
      </c>
    </row>
    <row r="26" spans="1:7">
      <c r="A26" s="1" t="s">
        <v>20</v>
      </c>
      <c r="D26" s="1" t="s">
        <v>21</v>
      </c>
      <c r="G26" s="1" t="s">
        <v>22</v>
      </c>
    </row>
    <row r="27" spans="1:8">
      <c r="A27" s="16" t="s">
        <v>23</v>
      </c>
      <c r="B27" s="16" t="s">
        <v>24</v>
      </c>
      <c r="D27" s="16" t="s">
        <v>25</v>
      </c>
      <c r="E27" s="16" t="s">
        <v>26</v>
      </c>
      <c r="G27" s="16" t="s">
        <v>25</v>
      </c>
      <c r="H27" s="16" t="s">
        <v>27</v>
      </c>
    </row>
    <row r="28" spans="1:8">
      <c r="A28" s="16">
        <f>1/A6</f>
        <v>1</v>
      </c>
      <c r="B28" s="16">
        <f>B6</f>
        <v>-1.3</v>
      </c>
      <c r="D28" s="16">
        <f>A6</f>
        <v>1</v>
      </c>
      <c r="E28" s="16">
        <f>LN(ABS(B6))</f>
        <v>0.262364264467491</v>
      </c>
      <c r="G28" s="16">
        <f>A6</f>
        <v>1</v>
      </c>
      <c r="H28" s="16">
        <f>1/B6</f>
        <v>-0.769230769230769</v>
      </c>
    </row>
    <row r="29" spans="1:8">
      <c r="A29" s="16">
        <f t="shared" ref="A29:A35" si="3">1/A7</f>
        <v>0.769230769230769</v>
      </c>
      <c r="B29" s="16">
        <f t="shared" ref="B29:B35" si="4">B7</f>
        <v>-2.2</v>
      </c>
      <c r="D29" s="16">
        <f t="shared" ref="D29:D35" si="5">A7</f>
        <v>1.3</v>
      </c>
      <c r="E29" s="16">
        <f t="shared" ref="E29:E35" si="6">LN(ABS(B7))</f>
        <v>0.78845736036427</v>
      </c>
      <c r="G29" s="16">
        <f t="shared" ref="G29:G35" si="7">A7</f>
        <v>1.3</v>
      </c>
      <c r="H29" s="16">
        <f t="shared" ref="H29:H35" si="8">1/B7</f>
        <v>-0.454545454545455</v>
      </c>
    </row>
    <row r="30" spans="1:8">
      <c r="A30" s="16">
        <f t="shared" si="3"/>
        <v>0.454545454545455</v>
      </c>
      <c r="B30" s="16">
        <f t="shared" si="4"/>
        <v>-2.8</v>
      </c>
      <c r="D30" s="16">
        <f t="shared" si="5"/>
        <v>2.2</v>
      </c>
      <c r="E30" s="16">
        <f t="shared" si="6"/>
        <v>1.02961941718116</v>
      </c>
      <c r="G30" s="16">
        <f t="shared" si="7"/>
        <v>2.2</v>
      </c>
      <c r="H30" s="16">
        <f t="shared" si="8"/>
        <v>-0.357142857142857</v>
      </c>
    </row>
    <row r="31" spans="1:8">
      <c r="A31" s="16">
        <f t="shared" si="3"/>
        <v>0.384615384615385</v>
      </c>
      <c r="B31" s="16">
        <f t="shared" si="4"/>
        <v>-3.2</v>
      </c>
      <c r="D31" s="16">
        <f t="shared" si="5"/>
        <v>2.6</v>
      </c>
      <c r="E31" s="16">
        <f t="shared" si="6"/>
        <v>1.16315080980568</v>
      </c>
      <c r="G31" s="16">
        <f t="shared" si="7"/>
        <v>2.6</v>
      </c>
      <c r="H31" s="16">
        <f t="shared" si="8"/>
        <v>-0.3125</v>
      </c>
    </row>
    <row r="32" spans="1:8">
      <c r="A32" s="16">
        <f t="shared" si="3"/>
        <v>0.303030303030303</v>
      </c>
      <c r="B32" s="16">
        <f t="shared" si="4"/>
        <v>-3.8</v>
      </c>
      <c r="D32" s="16">
        <f t="shared" si="5"/>
        <v>3.3</v>
      </c>
      <c r="E32" s="16">
        <f t="shared" si="6"/>
        <v>1.33500106673234</v>
      </c>
      <c r="G32" s="16">
        <f t="shared" si="7"/>
        <v>3.3</v>
      </c>
      <c r="H32" s="16">
        <f t="shared" si="8"/>
        <v>-0.263157894736842</v>
      </c>
    </row>
    <row r="33" spans="1:8">
      <c r="A33" s="16">
        <f t="shared" si="3"/>
        <v>0.277777777777778</v>
      </c>
      <c r="B33" s="16">
        <f t="shared" si="4"/>
        <v>-4.4</v>
      </c>
      <c r="D33" s="16">
        <f t="shared" si="5"/>
        <v>3.6</v>
      </c>
      <c r="E33" s="16">
        <f t="shared" si="6"/>
        <v>1.48160454092422</v>
      </c>
      <c r="G33" s="16">
        <f t="shared" si="7"/>
        <v>3.6</v>
      </c>
      <c r="H33" s="16">
        <f t="shared" si="8"/>
        <v>-0.227272727272727</v>
      </c>
    </row>
    <row r="34" spans="1:8">
      <c r="A34" s="16">
        <f t="shared" si="3"/>
        <v>0.188679245283019</v>
      </c>
      <c r="B34" s="16">
        <f t="shared" si="4"/>
        <v>-5.6</v>
      </c>
      <c r="D34" s="16">
        <f t="shared" si="5"/>
        <v>5.3</v>
      </c>
      <c r="E34" s="16">
        <f t="shared" si="6"/>
        <v>1.7227665977411</v>
      </c>
      <c r="G34" s="16">
        <f t="shared" si="7"/>
        <v>5.3</v>
      </c>
      <c r="H34" s="16">
        <f t="shared" si="8"/>
        <v>-0.178571428571429</v>
      </c>
    </row>
    <row r="35" spans="1:8">
      <c r="A35" s="16">
        <f t="shared" si="3"/>
        <v>0.166666666666667</v>
      </c>
      <c r="B35" s="16">
        <f t="shared" si="4"/>
        <v>-5.9</v>
      </c>
      <c r="D35" s="16">
        <f t="shared" si="5"/>
        <v>6</v>
      </c>
      <c r="E35" s="16">
        <f t="shared" si="6"/>
        <v>1.77495235091167</v>
      </c>
      <c r="G35" s="16">
        <f t="shared" si="7"/>
        <v>6</v>
      </c>
      <c r="H35" s="16">
        <f t="shared" si="8"/>
        <v>-0.169491525423729</v>
      </c>
    </row>
    <row r="38" spans="1:7">
      <c r="A38" s="17" t="s">
        <v>28</v>
      </c>
      <c r="B38" s="17" t="s">
        <v>29</v>
      </c>
      <c r="C38" s="17" t="s">
        <v>30</v>
      </c>
      <c r="D38" s="17" t="s">
        <v>31</v>
      </c>
      <c r="E38" s="17" t="s">
        <v>32</v>
      </c>
      <c r="F38" s="17" t="s">
        <v>33</v>
      </c>
      <c r="G38" s="17" t="s">
        <v>34</v>
      </c>
    </row>
    <row r="39" spans="1:7">
      <c r="A39" s="17">
        <f>A6</f>
        <v>1</v>
      </c>
      <c r="B39" s="17">
        <f>A39*A39</f>
        <v>1</v>
      </c>
      <c r="C39" s="17">
        <f>A39*A39*A39</f>
        <v>1</v>
      </c>
      <c r="D39" s="17">
        <f>A39*A39*A39*A39</f>
        <v>1</v>
      </c>
      <c r="E39" s="17">
        <f>B6</f>
        <v>-1.3</v>
      </c>
      <c r="F39" s="17">
        <f>A39*E39</f>
        <v>-1.3</v>
      </c>
      <c r="G39" s="17">
        <f>B39*E39</f>
        <v>-1.3</v>
      </c>
    </row>
    <row r="40" spans="1:7">
      <c r="A40" s="17">
        <f t="shared" ref="A40:A46" si="9">A7</f>
        <v>1.3</v>
      </c>
      <c r="B40" s="17">
        <f t="shared" ref="B40:B46" si="10">A40*A40</f>
        <v>1.69</v>
      </c>
      <c r="C40" s="17">
        <f t="shared" ref="C40:C46" si="11">A40*A40*A40</f>
        <v>2.197</v>
      </c>
      <c r="D40" s="17">
        <f t="shared" ref="D40:D46" si="12">A40*A40*A40*A40</f>
        <v>2.8561</v>
      </c>
      <c r="E40" s="17">
        <f t="shared" ref="E40:E46" si="13">B7</f>
        <v>-2.2</v>
      </c>
      <c r="F40" s="17">
        <f t="shared" ref="F40:F46" si="14">A40*E40</f>
        <v>-2.86</v>
      </c>
      <c r="G40" s="17">
        <f t="shared" ref="G40:G46" si="15">B40*E40</f>
        <v>-3.718</v>
      </c>
    </row>
    <row r="41" spans="1:7">
      <c r="A41" s="17">
        <f t="shared" si="9"/>
        <v>2.2</v>
      </c>
      <c r="B41" s="17">
        <f t="shared" si="10"/>
        <v>4.84</v>
      </c>
      <c r="C41" s="17">
        <f t="shared" si="11"/>
        <v>10.648</v>
      </c>
      <c r="D41" s="17">
        <f t="shared" si="12"/>
        <v>23.4256</v>
      </c>
      <c r="E41" s="17">
        <f t="shared" si="13"/>
        <v>-2.8</v>
      </c>
      <c r="F41" s="17">
        <f t="shared" si="14"/>
        <v>-6.16</v>
      </c>
      <c r="G41" s="17">
        <f t="shared" si="15"/>
        <v>-13.552</v>
      </c>
    </row>
    <row r="42" spans="1:7">
      <c r="A42" s="17">
        <f t="shared" si="9"/>
        <v>2.6</v>
      </c>
      <c r="B42" s="17">
        <f t="shared" si="10"/>
        <v>6.76</v>
      </c>
      <c r="C42" s="17">
        <f t="shared" si="11"/>
        <v>17.576</v>
      </c>
      <c r="D42" s="17">
        <f t="shared" si="12"/>
        <v>45.6976</v>
      </c>
      <c r="E42" s="17">
        <f t="shared" si="13"/>
        <v>-3.2</v>
      </c>
      <c r="F42" s="17">
        <f t="shared" si="14"/>
        <v>-8.32</v>
      </c>
      <c r="G42" s="17">
        <f t="shared" si="15"/>
        <v>-21.632</v>
      </c>
    </row>
    <row r="43" spans="1:7">
      <c r="A43" s="17">
        <f t="shared" si="9"/>
        <v>3.3</v>
      </c>
      <c r="B43" s="17">
        <f t="shared" si="10"/>
        <v>10.89</v>
      </c>
      <c r="C43" s="17">
        <f t="shared" si="11"/>
        <v>35.937</v>
      </c>
      <c r="D43" s="17">
        <f t="shared" si="12"/>
        <v>118.5921</v>
      </c>
      <c r="E43" s="17">
        <f t="shared" si="13"/>
        <v>-3.8</v>
      </c>
      <c r="F43" s="17">
        <f t="shared" si="14"/>
        <v>-12.54</v>
      </c>
      <c r="G43" s="17">
        <f t="shared" si="15"/>
        <v>-41.382</v>
      </c>
    </row>
    <row r="44" spans="1:7">
      <c r="A44" s="17">
        <f t="shared" si="9"/>
        <v>3.6</v>
      </c>
      <c r="B44" s="17">
        <f t="shared" si="10"/>
        <v>12.96</v>
      </c>
      <c r="C44" s="17">
        <f t="shared" si="11"/>
        <v>46.656</v>
      </c>
      <c r="D44" s="17">
        <f t="shared" si="12"/>
        <v>167.9616</v>
      </c>
      <c r="E44" s="17">
        <f t="shared" si="13"/>
        <v>-4.4</v>
      </c>
      <c r="F44" s="17">
        <f t="shared" si="14"/>
        <v>-15.84</v>
      </c>
      <c r="G44" s="17">
        <f t="shared" si="15"/>
        <v>-57.024</v>
      </c>
    </row>
    <row r="45" spans="1:7">
      <c r="A45" s="17">
        <f t="shared" si="9"/>
        <v>5.3</v>
      </c>
      <c r="B45" s="17">
        <f t="shared" si="10"/>
        <v>28.09</v>
      </c>
      <c r="C45" s="17">
        <f t="shared" si="11"/>
        <v>148.877</v>
      </c>
      <c r="D45" s="17">
        <f t="shared" si="12"/>
        <v>789.0481</v>
      </c>
      <c r="E45" s="17">
        <f t="shared" si="13"/>
        <v>-5.6</v>
      </c>
      <c r="F45" s="17">
        <f t="shared" si="14"/>
        <v>-29.68</v>
      </c>
      <c r="G45" s="17">
        <f t="shared" si="15"/>
        <v>-157.304</v>
      </c>
    </row>
    <row r="46" spans="1:7">
      <c r="A46" s="17">
        <f t="shared" si="9"/>
        <v>6</v>
      </c>
      <c r="B46" s="17">
        <f t="shared" si="10"/>
        <v>36</v>
      </c>
      <c r="C46" s="17">
        <f t="shared" si="11"/>
        <v>216</v>
      </c>
      <c r="D46" s="17">
        <f t="shared" si="12"/>
        <v>1296</v>
      </c>
      <c r="E46" s="17">
        <f t="shared" si="13"/>
        <v>-5.9</v>
      </c>
      <c r="F46" s="17">
        <f t="shared" si="14"/>
        <v>-35.4</v>
      </c>
      <c r="G46" s="17">
        <f t="shared" si="15"/>
        <v>-212.4</v>
      </c>
    </row>
    <row r="47" spans="1:4">
      <c r="A47" s="16"/>
      <c r="B47" s="16"/>
      <c r="C47" s="16"/>
      <c r="D47" s="16"/>
    </row>
    <row r="48" spans="1:7">
      <c r="A48" s="16">
        <f>SUM(A39:A46)</f>
        <v>25.3</v>
      </c>
      <c r="B48" s="18">
        <f>SUM(B39:B46)</f>
        <v>102.23</v>
      </c>
      <c r="C48" s="16">
        <f>SUM(C39:C46)</f>
        <v>478.891</v>
      </c>
      <c r="D48" s="16">
        <f>SUM(D39:D46)</f>
        <v>2444.5811</v>
      </c>
      <c r="E48" s="1">
        <f>SUM(E39:E46)</f>
        <v>-29.2</v>
      </c>
      <c r="F48" s="1">
        <f>SUM(F39:F46)</f>
        <v>-112.1</v>
      </c>
      <c r="G48" s="1">
        <f>SUM(G39:G46)</f>
        <v>-508.312</v>
      </c>
    </row>
    <row r="49" spans="1:2">
      <c r="A49" s="1" t="s">
        <v>8</v>
      </c>
      <c r="B49" s="1">
        <f>COUNT(A39:A46)</f>
        <v>8</v>
      </c>
    </row>
    <row r="50" spans="1:6">
      <c r="A50" s="1" t="s">
        <v>10</v>
      </c>
      <c r="B50" s="6">
        <f>CORREL(A39:A46,E39:E46)</f>
        <v>-0.987827177013049</v>
      </c>
      <c r="C50" s="1" t="s">
        <v>11</v>
      </c>
      <c r="D50" s="7">
        <f>ABS(B50)*SQRT((B49-2)/(1-B50^2))</f>
        <v>15.5550578343834</v>
      </c>
      <c r="E50" s="30" t="s">
        <v>12</v>
      </c>
      <c r="F50" s="7">
        <f>TINV(0.05,B49-2)</f>
        <v>2.44691185114497</v>
      </c>
    </row>
    <row r="52" ht="15.75" spans="1:1">
      <c r="A52" s="1" t="s">
        <v>15</v>
      </c>
    </row>
    <row r="53" spans="1:8">
      <c r="A53" s="19">
        <f>D48</f>
        <v>2444.5811</v>
      </c>
      <c r="B53" s="20">
        <f>C48</f>
        <v>478.891</v>
      </c>
      <c r="C53" s="21">
        <f>B48</f>
        <v>102.23</v>
      </c>
      <c r="D53" s="6"/>
      <c r="E53" s="10">
        <f>G48</f>
        <v>-508.312</v>
      </c>
      <c r="G53" s="1">
        <v>1</v>
      </c>
      <c r="H53" s="1">
        <f>$E$57+$E$58*A39+$E$59*A39*A39</f>
        <v>-1.50868986113109</v>
      </c>
    </row>
    <row r="54" spans="1:8">
      <c r="A54" s="22">
        <f>C48</f>
        <v>478.891</v>
      </c>
      <c r="B54" s="6">
        <f>B48</f>
        <v>102.23</v>
      </c>
      <c r="C54" s="23">
        <f>A48</f>
        <v>25.3</v>
      </c>
      <c r="D54" s="6"/>
      <c r="E54" s="31">
        <f>F48</f>
        <v>-112.1</v>
      </c>
      <c r="G54" s="1">
        <v>1.3</v>
      </c>
      <c r="H54" s="1">
        <f t="shared" ref="H54:H67" si="16">$E$57+$E$58*A40+$E$59*A40*A40</f>
        <v>-2.07031477597393</v>
      </c>
    </row>
    <row r="55" ht="15.75" spans="1:8">
      <c r="A55" s="24">
        <f>B48</f>
        <v>102.23</v>
      </c>
      <c r="B55" s="25">
        <f>A48</f>
        <v>25.3</v>
      </c>
      <c r="C55" s="12">
        <f>B49</f>
        <v>8</v>
      </c>
      <c r="E55" s="32">
        <f>E48</f>
        <v>-29.2</v>
      </c>
      <c r="G55" s="1">
        <v>2.2</v>
      </c>
      <c r="H55" s="1">
        <f t="shared" si="16"/>
        <v>-4.00310526428111</v>
      </c>
    </row>
    <row r="56" ht="15.75" spans="4:8">
      <c r="D56" s="6"/>
      <c r="G56" s="1">
        <v>2.6</v>
      </c>
      <c r="H56" s="1">
        <f t="shared" si="16"/>
        <v>-4.98149009868144</v>
      </c>
    </row>
    <row r="57" spans="1:8">
      <c r="A57" s="8">
        <f t="array" ref="A57:C59">MINVERSE(A53:C55)</f>
        <v>0.0205392205349373</v>
      </c>
      <c r="B57" s="26">
        <v>-0.143827581731765</v>
      </c>
      <c r="C57" s="9">
        <v>0.192389162815877</v>
      </c>
      <c r="D57" s="27" t="s">
        <v>35</v>
      </c>
      <c r="E57" s="10">
        <f t="array" ref="E57:E59">MMULT(A57:C59,E53:E55)</f>
        <v>0.0649760893522062</v>
      </c>
      <c r="F57" s="6"/>
      <c r="G57" s="1">
        <v>3.3</v>
      </c>
      <c r="H57" s="1">
        <f t="shared" si="16"/>
        <v>-6.87041830213162</v>
      </c>
    </row>
    <row r="58" spans="1:8">
      <c r="A58" s="28">
        <v>-0.143827581731765</v>
      </c>
      <c r="B58" s="1">
        <v>1.05217150734044</v>
      </c>
      <c r="C58" s="23">
        <v>-1.48955568190935</v>
      </c>
      <c r="D58" s="29" t="s">
        <v>36</v>
      </c>
      <c r="E58" s="31">
        <v>-1.34411433587342</v>
      </c>
      <c r="G58" s="1">
        <v>3.6</v>
      </c>
      <c r="H58" s="1">
        <f t="shared" si="16"/>
        <v>-7.74882444513609</v>
      </c>
    </row>
    <row r="59" ht="15.75" spans="1:8">
      <c r="A59" s="11">
        <v>0.192389162815877</v>
      </c>
      <c r="B59" s="25">
        <v>-1.48955568190935</v>
      </c>
      <c r="C59" s="12">
        <v>2.37722682970493</v>
      </c>
      <c r="D59" s="29" t="s">
        <v>37</v>
      </c>
      <c r="E59" s="13">
        <v>-0.229551614609875</v>
      </c>
      <c r="G59" s="1">
        <v>5.3</v>
      </c>
      <c r="H59" s="1">
        <f t="shared" si="16"/>
        <v>-13.5069347451683</v>
      </c>
    </row>
    <row r="60" spans="7:8">
      <c r="G60" s="1">
        <v>6</v>
      </c>
      <c r="H60" s="1">
        <f t="shared" si="16"/>
        <v>-16.2635680518438</v>
      </c>
    </row>
  </sheetData>
  <mergeCells count="1">
    <mergeCell ref="A1:C1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Vadim</dc:creator>
  <cp:lastModifiedBy>euphoo</cp:lastModifiedBy>
  <dcterms:created xsi:type="dcterms:W3CDTF">2015-06-06T03:19:00Z</dcterms:created>
  <dcterms:modified xsi:type="dcterms:W3CDTF">2025-12-30T20:27:51Z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1049-11.1.0.11723</vt:lpwstr>
  </property>
</Properties>
</file>